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BE6FAC6B-56C3-48B4-952A-8CDD2114897E}" xr6:coauthVersionLast="45" xr6:coauthVersionMax="45" xr10:uidLastSave="{00000000-0000-0000-0000-000000000000}"/>
  <bookViews>
    <workbookView xWindow="-120" yWindow="-120" windowWidth="21840" windowHeight="13140" tabRatio="828" firstSheet="24" activeTab="28" xr2:uid="{00000000-000D-0000-FFFF-FFFF00000000}"/>
  </bookViews>
  <sheets>
    <sheet name="Products" sheetId="1" state="hidden" r:id="rId1"/>
    <sheet name="Top_Customers" sheetId="39" state="hidden" r:id="rId2"/>
    <sheet name="Top_Suppliers" sheetId="40" state="hidden" r:id="rId3"/>
    <sheet name="Capital_labels" sheetId="38" state="hidden" r:id="rId4"/>
    <sheet name="Display_Expenses" sheetId="31" state="hidden" r:id="rId5"/>
    <sheet name="Reports" sheetId="24" state="hidden" r:id="rId6"/>
    <sheet name="stock_take" sheetId="27" state="hidden" r:id="rId7"/>
    <sheet name="Vendors" sheetId="5" state="hidden" r:id="rId8"/>
    <sheet name="Expenses" sheetId="8" state="hidden" r:id="rId9"/>
    <sheet name="Accounts" sheetId="9" state="hidden" r:id="rId10"/>
    <sheet name="Payment" sheetId="10" state="hidden" r:id="rId11"/>
    <sheet name="stock_take_show" sheetId="29" state="hidden" r:id="rId12"/>
    <sheet name="Stock_Report" sheetId="6" state="hidden" r:id="rId13"/>
    <sheet name="stock_display" sheetId="35" state="hidden" r:id="rId14"/>
    <sheet name="Customers" sheetId="4" state="hidden" r:id="rId15"/>
    <sheet name="Bussiness_Description" sheetId="2" state="hidden" r:id="rId16"/>
    <sheet name="Add_Service" sheetId="11" state="hidden" r:id="rId17"/>
    <sheet name="Transfers" sheetId="12" state="hidden" r:id="rId18"/>
    <sheet name="Customer_Balance" sheetId="33" state="hidden" r:id="rId19"/>
    <sheet name="CustmBal_Display" sheetId="37" state="hidden" r:id="rId20"/>
    <sheet name="Vendor_Balance" sheetId="34" state="hidden" r:id="rId21"/>
    <sheet name="vndaBal_Display" sheetId="36" state="hidden" r:id="rId22"/>
    <sheet name="Display_Transfers" sheetId="32" state="hidden" r:id="rId23"/>
    <sheet name="Acc_Balances" sheetId="16" state="hidden" r:id="rId24"/>
    <sheet name="invoice" sheetId="22" r:id="rId25"/>
    <sheet name="Home" sheetId="43" r:id="rId26"/>
    <sheet name="Capital-Report" sheetId="44" r:id="rId27"/>
    <sheet name="Profit-Report" sheetId="45" r:id="rId28"/>
    <sheet name="Users" sheetId="19" r:id="rId29"/>
    <sheet name="Search_Product" sheetId="42" state="hidden" r:id="rId30"/>
    <sheet name="Sales" sheetId="20" state="hidden" r:id="rId31"/>
    <sheet name="most_items" sheetId="41" state="hidden" r:id="rId32"/>
    <sheet name="Database" sheetId="21" state="hidden" r:id="rId33"/>
    <sheet name="Display_Payments" sheetId="30" state="hidden" r:id="rId34"/>
    <sheet name="Show_acc_balance" sheetId="17" state="hidden" r:id="rId35"/>
    <sheet name="Sales_Display" sheetId="13" state="hidden" r:id="rId36"/>
    <sheet name="Display_database" sheetId="26" state="hidden" r:id="rId37"/>
  </sheets>
  <definedNames>
    <definedName name="_xlnm._FilterDatabase" localSheetId="18" hidden="1">Customer_Balance!$A$1:$F$4</definedName>
    <definedName name="_xlnm._FilterDatabase" localSheetId="32" hidden="1">Database!$A$1:$K$65</definedName>
    <definedName name="_xlnm._FilterDatabase" localSheetId="36" hidden="1">Display_database!$A$1:$K$39</definedName>
    <definedName name="_xlnm._FilterDatabase" localSheetId="8" hidden="1">Expenses!$A$1:$K$22</definedName>
    <definedName name="_xlnm._FilterDatabase" localSheetId="10" hidden="1">Payment!$A$1:$H$23</definedName>
    <definedName name="_xlnm._FilterDatabase" localSheetId="0" hidden="1">Products!$A$1:$L$2</definedName>
    <definedName name="_xlnm._FilterDatabase" localSheetId="30" hidden="1">Sales!$A$1:$I$284</definedName>
    <definedName name="_xlnm._FilterDatabase" localSheetId="12" hidden="1">Stock_Report!$A$1:$I$6</definedName>
    <definedName name="_xlnm._FilterDatabase" localSheetId="6" hidden="1">stock_take!$A$1:$E$21</definedName>
    <definedName name="_xlnm._FilterDatabase" localSheetId="17" hidden="1">Transfers!$A$1:$H$1</definedName>
    <definedName name="_xlnm._FilterDatabase" localSheetId="20" hidden="1">Vendor_Balance!$A$1:$H$3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24" l="1"/>
  <c r="C9" i="24"/>
  <c r="C8" i="24"/>
  <c r="C7" i="24"/>
  <c r="C6" i="24"/>
  <c r="C5" i="24"/>
  <c r="C4" i="24"/>
  <c r="B3" i="16" l="1"/>
  <c r="C3" i="16"/>
  <c r="D3" i="16"/>
  <c r="E3" i="16"/>
  <c r="F3" i="16"/>
  <c r="G3" i="16"/>
  <c r="H3" i="16"/>
  <c r="I2" i="16"/>
  <c r="H2" i="16"/>
  <c r="G2" i="16"/>
  <c r="F2" i="16"/>
  <c r="E2" i="16"/>
  <c r="D2" i="16"/>
  <c r="J2" i="16" s="1"/>
  <c r="C2" i="16"/>
  <c r="B2" i="16"/>
  <c r="E3" i="22" l="1"/>
  <c r="K1" i="1"/>
  <c r="L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A1" authorId="0" shapeId="0" xr:uid="{00000000-0006-0000-1E00-000001000000}">
      <text>
        <r>
          <rPr>
            <b/>
            <sz val="9"/>
            <color indexed="81"/>
            <rFont val="Tahoma"/>
            <family val="2"/>
          </rPr>
          <t>Windows User: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A1" authorId="0" shapeId="0" xr:uid="{00000000-0006-0000-2200-000001000000}">
      <text>
        <r>
          <rPr>
            <b/>
            <sz val="9"/>
            <color indexed="81"/>
            <rFont val="Tahoma"/>
            <family val="2"/>
          </rPr>
          <t>Windows User:</t>
        </r>
      </text>
    </comment>
  </commentList>
</comments>
</file>

<file path=xl/sharedStrings.xml><?xml version="1.0" encoding="utf-8"?>
<sst xmlns="http://schemas.openxmlformats.org/spreadsheetml/2006/main" count="332" uniqueCount="166">
  <si>
    <t>NAME</t>
  </si>
  <si>
    <t>DESCRIPTION</t>
  </si>
  <si>
    <t>BUSINESS NUMBER</t>
  </si>
  <si>
    <t>WHATSAPP NUMBER</t>
  </si>
  <si>
    <t>ADRESS</t>
  </si>
  <si>
    <t>EMAIL</t>
  </si>
  <si>
    <t>WEBSITE</t>
  </si>
  <si>
    <t>S.No.</t>
  </si>
  <si>
    <t>Product</t>
  </si>
  <si>
    <t>Category</t>
  </si>
  <si>
    <t>Purchase Cost</t>
  </si>
  <si>
    <t>Sale Price</t>
  </si>
  <si>
    <t>Opening Stock</t>
  </si>
  <si>
    <t>Alert Level</t>
  </si>
  <si>
    <t>Time Stamp</t>
  </si>
  <si>
    <t>Measure</t>
  </si>
  <si>
    <t>s.no.</t>
  </si>
  <si>
    <t>Customer Name</t>
  </si>
  <si>
    <t>Balance Type</t>
  </si>
  <si>
    <t>Adress</t>
  </si>
  <si>
    <t>Contacts</t>
  </si>
  <si>
    <t>Opening Balance</t>
  </si>
  <si>
    <t>Date</t>
  </si>
  <si>
    <t>Sno.</t>
  </si>
  <si>
    <t>Name</t>
  </si>
  <si>
    <t>Phone</t>
  </si>
  <si>
    <t>Balance</t>
  </si>
  <si>
    <t>s.No.</t>
  </si>
  <si>
    <t>Type</t>
  </si>
  <si>
    <t>Amount</t>
  </si>
  <si>
    <t>Notes</t>
  </si>
  <si>
    <t>Supplier</t>
  </si>
  <si>
    <t>In Charge</t>
  </si>
  <si>
    <t>Paid</t>
  </si>
  <si>
    <t>Account</t>
  </si>
  <si>
    <t>NO.</t>
  </si>
  <si>
    <t>Party</t>
  </si>
  <si>
    <t>Incharge</t>
  </si>
  <si>
    <t>Customer</t>
  </si>
  <si>
    <t>WalkIn Vendor</t>
  </si>
  <si>
    <t>WalkIn Customer</t>
  </si>
  <si>
    <t>21-Feb-2021,10:52:39 PM</t>
  </si>
  <si>
    <t>21-Feb-2021,10:57:42 PM</t>
  </si>
  <si>
    <t>N0.</t>
  </si>
  <si>
    <t>Service</t>
  </si>
  <si>
    <t>About</t>
  </si>
  <si>
    <t>Price</t>
  </si>
  <si>
    <t>No.</t>
  </si>
  <si>
    <t>From</t>
  </si>
  <si>
    <t>To</t>
  </si>
  <si>
    <t>Comment</t>
  </si>
  <si>
    <t>Deposit</t>
  </si>
  <si>
    <t>Reason</t>
  </si>
  <si>
    <t>Product/Service</t>
  </si>
  <si>
    <t>Rate</t>
  </si>
  <si>
    <t>Discount</t>
  </si>
  <si>
    <t>Total Amount</t>
  </si>
  <si>
    <t>User Name</t>
  </si>
  <si>
    <t>Role</t>
  </si>
  <si>
    <t>Password</t>
  </si>
  <si>
    <t>Question</t>
  </si>
  <si>
    <t>Answer</t>
  </si>
  <si>
    <t>Change</t>
  </si>
  <si>
    <t>Time</t>
  </si>
  <si>
    <t>Quantity</t>
  </si>
  <si>
    <t>Paid Amount</t>
  </si>
  <si>
    <t>Barcode</t>
  </si>
  <si>
    <t>Account number</t>
  </si>
  <si>
    <t>Account Number</t>
  </si>
  <si>
    <t>Active User</t>
  </si>
  <si>
    <t>User Id</t>
  </si>
  <si>
    <t>FACEBOOK</t>
  </si>
  <si>
    <t>YOUTUBE</t>
  </si>
  <si>
    <t>TWITTER</t>
  </si>
  <si>
    <t>INSTAGRAM</t>
  </si>
  <si>
    <t>OWNER</t>
  </si>
  <si>
    <t>OWNER NUMBER</t>
  </si>
  <si>
    <t>SubTotal</t>
  </si>
  <si>
    <t>nmv</t>
  </si>
  <si>
    <t>Ship to:</t>
  </si>
  <si>
    <t>Customer:</t>
  </si>
  <si>
    <t>Contact:</t>
  </si>
  <si>
    <t>N/A</t>
  </si>
  <si>
    <t>Purchase</t>
  </si>
  <si>
    <t>Item</t>
  </si>
  <si>
    <t>Opening</t>
  </si>
  <si>
    <t>In</t>
  </si>
  <si>
    <t>Out</t>
  </si>
  <si>
    <t>Closing</t>
  </si>
  <si>
    <t>Damaged</t>
  </si>
  <si>
    <t>Actual</t>
  </si>
  <si>
    <t>Variance</t>
  </si>
  <si>
    <t>Stock Value</t>
  </si>
  <si>
    <t>Sn no.</t>
  </si>
  <si>
    <t>34</t>
  </si>
  <si>
    <t>Contact</t>
  </si>
  <si>
    <t>In charge</t>
  </si>
  <si>
    <t>Invoice No.</t>
  </si>
  <si>
    <t>Recieved</t>
  </si>
  <si>
    <t>0000 000 000</t>
  </si>
  <si>
    <t>Purchses</t>
  </si>
  <si>
    <t>Sales</t>
  </si>
  <si>
    <t>Receipts</t>
  </si>
  <si>
    <t>Payments</t>
  </si>
  <si>
    <t>Expenses</t>
  </si>
  <si>
    <t>Profits</t>
  </si>
  <si>
    <t>Services</t>
  </si>
  <si>
    <t>Purchases</t>
  </si>
  <si>
    <t>Withdraws</t>
  </si>
  <si>
    <t>Expense</t>
  </si>
  <si>
    <t>Total</t>
  </si>
  <si>
    <t>Paid To</t>
  </si>
  <si>
    <t>Paid Back</t>
  </si>
  <si>
    <t>Openning</t>
  </si>
  <si>
    <t>Total Bill</t>
  </si>
  <si>
    <t>Damged</t>
  </si>
  <si>
    <t>Recieved From</t>
  </si>
  <si>
    <t>Given</t>
  </si>
  <si>
    <t>Percentage</t>
  </si>
  <si>
    <t>Profit</t>
  </si>
  <si>
    <t>Total Quantity</t>
  </si>
  <si>
    <t>Cost Price</t>
  </si>
  <si>
    <t>Description</t>
  </si>
  <si>
    <t>Admin</t>
  </si>
  <si>
    <t>Kanakulya</t>
  </si>
  <si>
    <t>Here</t>
  </si>
  <si>
    <t>example@bussiness.com</t>
  </si>
  <si>
    <t>www.example.com</t>
  </si>
  <si>
    <t>mY Bussiness</t>
  </si>
  <si>
    <t>me</t>
  </si>
  <si>
    <t>Example Business</t>
  </si>
  <si>
    <t>Tel: 1234567890, Whatsapp: 987654321</t>
  </si>
  <si>
    <t>Cash Account</t>
  </si>
  <si>
    <t>Bank Account</t>
  </si>
  <si>
    <t>Product 1</t>
  </si>
  <si>
    <t>Drinks</t>
  </si>
  <si>
    <t>PCS</t>
  </si>
  <si>
    <t>10-Dec-2021,09:05:10 PM</t>
  </si>
  <si>
    <t>Sunday,12 December,2021</t>
  </si>
  <si>
    <t>1 PCS</t>
  </si>
  <si>
    <t>_____________</t>
  </si>
  <si>
    <t>_______________________</t>
  </si>
  <si>
    <t>Items 1</t>
  </si>
  <si>
    <t>Served By:</t>
  </si>
  <si>
    <t>Sale Invoice</t>
  </si>
  <si>
    <t>____________</t>
  </si>
  <si>
    <t>Invoice No: 2</t>
  </si>
  <si>
    <t>Thanks,Visit Again!</t>
  </si>
  <si>
    <t xml:space="preserve">THE CAPITAL REPORT </t>
  </si>
  <si>
    <t>Mobile Money</t>
  </si>
  <si>
    <t>Other Account</t>
  </si>
  <si>
    <t>With Customers</t>
  </si>
  <si>
    <t>Payable to Suppliers (-)</t>
  </si>
  <si>
    <t xml:space="preserve">Balance </t>
  </si>
  <si>
    <t xml:space="preserve">THE PROFIT REPORT </t>
  </si>
  <si>
    <t>Sales (+)</t>
  </si>
  <si>
    <t>Cost of Goods Sold (-)</t>
  </si>
  <si>
    <t xml:space="preserve">Profit on Goods </t>
  </si>
  <si>
    <t>Services Sold (+)</t>
  </si>
  <si>
    <t xml:space="preserve">Grand Profit </t>
  </si>
  <si>
    <t>Expenses (-)</t>
  </si>
  <si>
    <t>Net Profit (=)</t>
  </si>
  <si>
    <t>As Of 10-Jan-2022 to 10-Jan-2022</t>
  </si>
  <si>
    <t>alex</t>
  </si>
  <si>
    <t>What is Your Religion?</t>
  </si>
  <si>
    <t>born again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</si>
</sst>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[$-F800]dddd\,\ mmmm\ dd\,\ yyyy"/>
    <numFmt numFmtId="165" formatCode="0000000000000"/>
    <numFmt numFmtId="166" formatCode="#,#00"/>
    <numFmt numFmtId="167" formatCode="d\-mm\-yy"/>
    <numFmt numFmtId="168" formatCode="[$-409]dd\-mmm\-yy;@"/>
    <numFmt numFmtId="169" formatCode="[$-409]h:mm:ss\ AM/PM"/>
    <numFmt numFmtId="170" formatCode="0000"/>
    <numFmt numFmtId="171" formatCode="[&lt;=9999999]###\-####;\(###\)\ ###\-####"/>
    <numFmt numFmtId="172" formatCode="[$-409]d\-mmm\-yy;@"/>
    <numFmt numFmtId="173" formatCode="dd\-mmm\-yyyy"/>
    <numFmt numFmtId="174" formatCode="#,#00.00%"/>
  </numFmts>
  <fonts count="35" x14ac:knownFonts="1">
    <font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entury"/>
      <family val="1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Bodoni MT Black"/>
      <family val="1"/>
    </font>
    <font>
      <sz val="14"/>
      <color theme="0"/>
      <name val="Calibri"/>
      <family val="2"/>
      <scheme val="minor"/>
    </font>
    <font>
      <b/>
      <sz val="11"/>
      <color theme="1"/>
      <name val="Bell MT"/>
      <family val="1"/>
    </font>
    <font>
      <sz val="11"/>
      <color theme="1"/>
      <name val="Bell MT"/>
      <family val="1"/>
    </font>
    <font>
      <b/>
      <sz val="9"/>
      <color indexed="81"/>
      <name val="Tahoma"/>
      <family val="2"/>
    </font>
    <font>
      <sz val="12"/>
      <color rgb="FFFFFF00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Courier New"/>
      <family val="3"/>
    </font>
    <font>
      <b/>
      <sz val="10"/>
      <color theme="1"/>
      <name val="Bell MT"/>
      <family val="1"/>
    </font>
    <font>
      <b/>
      <sz val="10"/>
      <color theme="1"/>
      <name val="Calibri"/>
      <family val="2"/>
      <scheme val="minor"/>
    </font>
    <font>
      <sz val="14"/>
      <color theme="0" tint="-0.14999847407452621"/>
      <name val="Calibri"/>
      <family val="2"/>
      <scheme val="minor"/>
    </font>
    <font>
      <sz val="11"/>
      <color rgb="FFC00000"/>
      <name val="Calibri"/>
      <family val="2"/>
      <scheme val="minor"/>
    </font>
    <font>
      <sz val="16"/>
      <color theme="2"/>
      <name val="Bauhaus 93"/>
      <family val="5"/>
    </font>
    <font>
      <sz val="16"/>
      <color rgb="FF640000"/>
      <name val="Bauhaus 93"/>
      <family val="5"/>
    </font>
    <font>
      <b/>
      <sz val="11"/>
      <color theme="5" tint="0.79998168889431442"/>
      <name val="Century Gothic"/>
      <family val="2"/>
    </font>
    <font>
      <sz val="11"/>
      <color theme="1"/>
      <name val="Century Gothic"/>
      <family val="2"/>
    </font>
    <font>
      <sz val="11"/>
      <color theme="1"/>
      <name val="Segoe UI"/>
      <family val="2"/>
    </font>
    <font>
      <sz val="11"/>
      <color theme="7" tint="0.79998168889431442"/>
      <name val="Century Gothic"/>
      <family val="2"/>
    </font>
    <font>
      <b/>
      <sz val="12"/>
      <color theme="8" tint="0.79998168889431442"/>
      <name val="Calibri"/>
      <family val="2"/>
      <scheme val="minor"/>
    </font>
    <font>
      <b/>
      <sz val="11"/>
      <color rgb="FF90208B"/>
      <name val="Calibri"/>
      <family val="2"/>
      <scheme val="minor"/>
    </font>
    <font>
      <b/>
      <sz val="14"/>
      <color theme="1"/>
      <name val="Bookman Old Style"/>
      <family val="1"/>
    </font>
    <font>
      <sz val="12"/>
      <color theme="1"/>
      <name val="Goudy Old Style"/>
      <family val="1"/>
    </font>
    <font>
      <b/>
      <sz val="11"/>
      <color theme="1"/>
      <name val="Footlight MT Light"/>
      <family val="1"/>
    </font>
    <font>
      <sz val="11"/>
      <color theme="1"/>
      <name val="Yu Gothic UI Semibold"/>
      <family val="2"/>
    </font>
    <font>
      <b/>
      <sz val="12"/>
      <color theme="1"/>
      <name val="Verdana"/>
      <family val="2"/>
    </font>
    <font>
      <sz val="12"/>
      <color theme="1" tint="4.9989318521683403E-2"/>
      <name val="Microsoft JhengHei UI Light"/>
      <family val="2"/>
    </font>
  </fonts>
  <fills count="2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gradientFill degree="90">
        <stop position="0">
          <color theme="5" tint="0.80001220740379042"/>
        </stop>
        <stop position="1">
          <color rgb="FF002060"/>
        </stop>
      </gradientFill>
    </fill>
    <fill>
      <gradientFill degree="90">
        <stop position="0">
          <color theme="0"/>
        </stop>
        <stop position="1">
          <color theme="1" tint="0.49803155613879818"/>
        </stop>
      </gradientFill>
    </fill>
    <fill>
      <patternFill patternType="solid">
        <fgColor theme="0"/>
        <bgColor auto="1"/>
      </patternFill>
    </fill>
    <fill>
      <gradientFill degree="90">
        <stop position="0">
          <color theme="5" tint="0.59999389629810485"/>
        </stop>
        <stop position="1">
          <color theme="9" tint="-0.25098422193060094"/>
        </stop>
      </gradientFill>
    </fill>
    <fill>
      <gradientFill degree="90">
        <stop position="0">
          <color rgb="FF7030A0"/>
        </stop>
        <stop position="1">
          <color rgb="FF2D1341"/>
        </stop>
      </gradientFill>
    </fill>
    <fill>
      <gradientFill degree="90">
        <stop position="0">
          <color rgb="FFFF3399"/>
        </stop>
        <stop position="1">
          <color rgb="FFFF0000"/>
        </stop>
      </gradientFill>
    </fill>
    <fill>
      <patternFill patternType="solid">
        <fgColor theme="7" tint="0.59999389629810485"/>
        <bgColor indexed="64"/>
      </patternFill>
    </fill>
    <fill>
      <gradientFill degree="90">
        <stop position="0">
          <color theme="7" tint="-0.25098422193060094"/>
        </stop>
        <stop position="1">
          <color rgb="FF640000"/>
        </stop>
      </gradientFill>
    </fill>
    <fill>
      <patternFill patternType="solid">
        <fgColor rgb="FF92D050"/>
        <bgColor auto="1"/>
      </patternFill>
    </fill>
    <fill>
      <patternFill patternType="solid">
        <fgColor rgb="FF92D050"/>
        <bgColor indexed="64"/>
      </patternFill>
    </fill>
    <fill>
      <gradientFill degree="90">
        <stop position="0">
          <color rgb="FFE99BE5"/>
        </stop>
        <stop position="1">
          <color rgb="FF7030A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2" tint="-0.25098422193060094"/>
        </stop>
        <stop position="1">
          <color theme="2" tint="-0.49803155613879818"/>
        </stop>
      </gradientFill>
    </fill>
    <fill>
      <patternFill patternType="solid">
        <fgColor theme="4" tint="0.59999389629810485"/>
        <bgColor indexed="64"/>
      </patternFill>
    </fill>
    <fill>
      <gradientFill degree="90">
        <stop position="0">
          <color theme="4" tint="0.59999389629810485"/>
        </stop>
        <stop position="1">
          <color theme="4" tint="0.40000610370189521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1" tint="0.249977111117893"/>
        <bgColor indexed="64"/>
      </patternFill>
    </fill>
    <fill>
      <gradientFill degree="90">
        <stop position="0">
          <color theme="5" tint="0.59999389629810485"/>
        </stop>
        <stop position="1">
          <color theme="5" tint="0.40000610370189521"/>
        </stop>
      </gradient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hair">
        <color rgb="FF002060"/>
      </left>
      <right style="hair">
        <color rgb="FF002060"/>
      </right>
      <top style="hair">
        <color rgb="FF002060"/>
      </top>
      <bottom style="hair">
        <color rgb="FF002060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dotted">
        <color rgb="FF00B050"/>
      </left>
      <right style="dotted">
        <color rgb="FF00B050"/>
      </right>
      <top style="thin">
        <color rgb="FF00B050"/>
      </top>
      <bottom style="dotted">
        <color rgb="FF00B050"/>
      </bottom>
      <diagonal/>
    </border>
    <border>
      <left style="dotted">
        <color rgb="FF00B050"/>
      </left>
      <right style="dotted">
        <color rgb="FF00B050"/>
      </right>
      <top style="dotted">
        <color rgb="FF00B050"/>
      </top>
      <bottom style="dotted">
        <color rgb="FF00B050"/>
      </bottom>
      <diagonal/>
    </border>
    <border>
      <left style="dotted">
        <color rgb="FF00B050"/>
      </left>
      <right/>
      <top style="thin">
        <color rgb="FF00B050"/>
      </top>
      <bottom style="dotted">
        <color rgb="FF00B050"/>
      </bottom>
      <diagonal/>
    </border>
    <border>
      <left style="dotted">
        <color rgb="FF00B050"/>
      </left>
      <right/>
      <top style="dotted">
        <color rgb="FF00B050"/>
      </top>
      <bottom style="dotted">
        <color rgb="FF00B050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61">
    <xf numFmtId="0" fontId="0" fillId="0" borderId="0" xfId="0"/>
    <xf numFmtId="0" fontId="1" fillId="2" borderId="0" xfId="0" applyFont="1" applyFill="1"/>
    <xf numFmtId="164" fontId="0" fillId="0" borderId="0" xfId="0" applyNumberFormat="1"/>
    <xf numFmtId="0" fontId="3" fillId="3" borderId="0" xfId="0" applyFont="1" applyFill="1"/>
    <xf numFmtId="0" fontId="3" fillId="4" borderId="0" xfId="0" applyFont="1" applyFill="1"/>
    <xf numFmtId="18" fontId="0" fillId="0" borderId="0" xfId="0" applyNumberFormat="1"/>
    <xf numFmtId="14" fontId="0" fillId="0" borderId="0" xfId="0" applyNumberFormat="1"/>
    <xf numFmtId="15" fontId="0" fillId="0" borderId="0" xfId="0" applyNumberFormat="1"/>
    <xf numFmtId="0" fontId="4" fillId="5" borderId="0" xfId="0" applyFont="1" applyFill="1"/>
    <xf numFmtId="0" fontId="5" fillId="6" borderId="0" xfId="0" applyFont="1" applyFill="1"/>
    <xf numFmtId="165" fontId="3" fillId="3" borderId="0" xfId="0" applyNumberFormat="1" applyFont="1" applyFill="1"/>
    <xf numFmtId="165" fontId="3" fillId="4" borderId="0" xfId="0" applyNumberFormat="1" applyFont="1" applyFill="1"/>
    <xf numFmtId="0" fontId="2" fillId="2" borderId="0" xfId="0" applyFont="1" applyFill="1"/>
    <xf numFmtId="166" fontId="0" fillId="0" borderId="0" xfId="0" applyNumberFormat="1"/>
    <xf numFmtId="0" fontId="0" fillId="0" borderId="1" xfId="0" applyBorder="1"/>
    <xf numFmtId="166" fontId="0" fillId="0" borderId="1" xfId="0" applyNumberFormat="1" applyBorder="1"/>
    <xf numFmtId="167" fontId="0" fillId="0" borderId="1" xfId="0" applyNumberFormat="1" applyBorder="1"/>
    <xf numFmtId="0" fontId="2" fillId="7" borderId="1" xfId="0" applyFont="1" applyFill="1" applyBorder="1"/>
    <xf numFmtId="166" fontId="2" fillId="7" borderId="1" xfId="0" applyNumberFormat="1" applyFont="1" applyFill="1" applyBorder="1"/>
    <xf numFmtId="167" fontId="2" fillId="7" borderId="1" xfId="0" applyNumberFormat="1" applyFont="1" applyFill="1" applyBorder="1"/>
    <xf numFmtId="0" fontId="0" fillId="0" borderId="0" xfId="0" applyBorder="1"/>
    <xf numFmtId="3" fontId="0" fillId="0" borderId="0" xfId="0" applyNumberFormat="1"/>
    <xf numFmtId="0" fontId="0" fillId="0" borderId="0" xfId="0" applyBorder="1" applyAlignment="1"/>
    <xf numFmtId="0" fontId="8" fillId="0" borderId="0" xfId="0" applyFont="1"/>
    <xf numFmtId="0" fontId="8" fillId="0" borderId="0" xfId="0" applyFont="1" applyBorder="1" applyAlignment="1">
      <alignment horizontal="right"/>
    </xf>
    <xf numFmtId="0" fontId="9" fillId="9" borderId="0" xfId="0" applyFont="1" applyFill="1" applyAlignment="1">
      <alignment horizontal="center"/>
    </xf>
    <xf numFmtId="0" fontId="9" fillId="9" borderId="0" xfId="0" applyFont="1" applyFill="1" applyAlignment="1"/>
    <xf numFmtId="0" fontId="0" fillId="0" borderId="8" xfId="0" applyBorder="1"/>
    <xf numFmtId="0" fontId="10" fillId="10" borderId="8" xfId="0" applyFont="1" applyFill="1" applyBorder="1" applyAlignment="1">
      <alignment vertical="center"/>
    </xf>
    <xf numFmtId="0" fontId="10" fillId="10" borderId="8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0" xfId="0" applyFont="1"/>
    <xf numFmtId="0" fontId="12" fillId="0" borderId="0" xfId="0" applyFont="1"/>
    <xf numFmtId="1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1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3" fontId="15" fillId="0" borderId="0" xfId="0" applyNumberFormat="1" applyFont="1"/>
    <xf numFmtId="0" fontId="17" fillId="0" borderId="0" xfId="0" applyFont="1" applyBorder="1" applyAlignment="1"/>
    <xf numFmtId="0" fontId="17" fillId="0" borderId="0" xfId="0" applyFont="1" applyFill="1" applyBorder="1" applyAlignment="1"/>
    <xf numFmtId="3" fontId="0" fillId="0" borderId="0" xfId="0" applyNumberFormat="1" applyAlignment="1">
      <alignment horizontal="center"/>
    </xf>
    <xf numFmtId="0" fontId="16" fillId="0" borderId="0" xfId="0" applyFont="1"/>
    <xf numFmtId="3" fontId="16" fillId="0" borderId="0" xfId="0" applyNumberFormat="1" applyFont="1"/>
    <xf numFmtId="0" fontId="16" fillId="0" borderId="0" xfId="0" applyFont="1" applyAlignment="1">
      <alignment horizontal="right"/>
    </xf>
    <xf numFmtId="15" fontId="0" fillId="0" borderId="0" xfId="0" applyNumberFormat="1" applyBorder="1" applyAlignment="1">
      <alignment horizontal="center"/>
    </xf>
    <xf numFmtId="19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14" fillId="11" borderId="0" xfId="0" applyFont="1" applyFill="1" applyBorder="1" applyAlignment="1">
      <alignment vertical="center"/>
    </xf>
    <xf numFmtId="0" fontId="19" fillId="0" borderId="0" xfId="0" applyFont="1" applyFill="1" applyAlignment="1">
      <alignment vertical="center"/>
    </xf>
    <xf numFmtId="0" fontId="5" fillId="14" borderId="0" xfId="0" applyFont="1" applyFill="1"/>
    <xf numFmtId="0" fontId="5" fillId="14" borderId="0" xfId="0" applyFont="1" applyFill="1" applyAlignment="1">
      <alignment horizontal="center"/>
    </xf>
    <xf numFmtId="0" fontId="0" fillId="0" borderId="0" xfId="0" applyNumberFormat="1" applyAlignment="1">
      <alignment horizontal="center"/>
    </xf>
    <xf numFmtId="0" fontId="21" fillId="16" borderId="0" xfId="0" applyFont="1" applyFill="1" applyAlignment="1">
      <alignment horizontal="center" vertical="center"/>
    </xf>
    <xf numFmtId="0" fontId="22" fillId="16" borderId="0" xfId="0" applyFont="1" applyFill="1" applyAlignment="1">
      <alignment horizontal="center" vertical="center"/>
    </xf>
    <xf numFmtId="0" fontId="23" fillId="12" borderId="0" xfId="0" applyFont="1" applyFill="1" applyAlignment="1">
      <alignment horizontal="left" vertical="center"/>
    </xf>
    <xf numFmtId="164" fontId="23" fillId="12" borderId="0" xfId="0" applyNumberFormat="1" applyFont="1" applyFill="1" applyAlignment="1">
      <alignment horizontal="left" vertical="center"/>
    </xf>
    <xf numFmtId="0" fontId="20" fillId="13" borderId="0" xfId="0" applyFont="1" applyFill="1" applyAlignment="1">
      <alignment horizontal="left"/>
    </xf>
    <xf numFmtId="3" fontId="20" fillId="13" borderId="0" xfId="0" applyNumberFormat="1" applyFont="1" applyFill="1" applyAlignment="1">
      <alignment horizontal="left"/>
    </xf>
    <xf numFmtId="164" fontId="20" fillId="13" borderId="0" xfId="0" applyNumberFormat="1" applyFont="1" applyFill="1" applyAlignment="1">
      <alignment horizontal="left"/>
    </xf>
    <xf numFmtId="166" fontId="0" fillId="0" borderId="0" xfId="0" applyNumberFormat="1" applyBorder="1" applyAlignment="1">
      <alignment horizontal="center"/>
    </xf>
    <xf numFmtId="170" fontId="14" fillId="11" borderId="0" xfId="0" applyNumberFormat="1" applyFont="1" applyFill="1" applyBorder="1" applyAlignment="1">
      <alignment horizontal="left" vertical="center"/>
    </xf>
    <xf numFmtId="166" fontId="14" fillId="11" borderId="0" xfId="0" applyNumberFormat="1" applyFont="1" applyFill="1" applyBorder="1" applyAlignment="1">
      <alignment horizontal="left" vertical="center"/>
    </xf>
    <xf numFmtId="0" fontId="14" fillId="11" borderId="0" xfId="0" applyFont="1" applyFill="1" applyBorder="1" applyAlignment="1">
      <alignment horizontal="left" vertical="center"/>
    </xf>
    <xf numFmtId="170" fontId="0" fillId="0" borderId="0" xfId="0" applyNumberFormat="1" applyBorder="1" applyAlignment="1">
      <alignment horizontal="left"/>
    </xf>
    <xf numFmtId="166" fontId="0" fillId="0" borderId="0" xfId="0" applyNumberFormat="1" applyBorder="1" applyAlignment="1">
      <alignment horizontal="left"/>
    </xf>
    <xf numFmtId="3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166" fontId="14" fillId="11" borderId="0" xfId="0" applyNumberFormat="1" applyFont="1" applyFill="1" applyBorder="1" applyAlignment="1">
      <alignment horizontal="center" vertical="center"/>
    </xf>
    <xf numFmtId="0" fontId="0" fillId="17" borderId="0" xfId="0" applyFill="1"/>
    <xf numFmtId="0" fontId="0" fillId="18" borderId="0" xfId="0" applyFill="1"/>
    <xf numFmtId="3" fontId="16" fillId="19" borderId="5" xfId="0" applyNumberFormat="1" applyFont="1" applyFill="1" applyBorder="1" applyAlignment="1">
      <alignment horizontal="center"/>
    </xf>
    <xf numFmtId="170" fontId="0" fillId="0" borderId="0" xfId="0" applyNumberFormat="1"/>
    <xf numFmtId="15" fontId="0" fillId="0" borderId="0" xfId="0" applyNumberFormat="1" applyAlignment="1">
      <alignment horizontal="left"/>
    </xf>
    <xf numFmtId="173" fontId="0" fillId="0" borderId="0" xfId="0" applyNumberFormat="1" applyAlignment="1">
      <alignment horizontal="left"/>
    </xf>
    <xf numFmtId="1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6" fontId="0" fillId="0" borderId="0" xfId="0" applyNumberFormat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/>
    </xf>
    <xf numFmtId="19" fontId="0" fillId="0" borderId="0" xfId="0" applyNumberFormat="1"/>
    <xf numFmtId="172" fontId="3" fillId="20" borderId="0" xfId="0" applyNumberFormat="1" applyFont="1" applyFill="1" applyAlignment="1">
      <alignment horizontal="left"/>
    </xf>
    <xf numFmtId="172" fontId="3" fillId="20" borderId="0" xfId="0" applyNumberFormat="1" applyFont="1" applyFill="1"/>
    <xf numFmtId="166" fontId="0" fillId="21" borderId="0" xfId="0" applyNumberFormat="1" applyFill="1"/>
    <xf numFmtId="0" fontId="25" fillId="21" borderId="0" xfId="0" applyFont="1" applyFill="1"/>
    <xf numFmtId="0" fontId="10" fillId="15" borderId="9" xfId="0" applyFont="1" applyFill="1" applyBorder="1" applyAlignment="1">
      <alignment horizontal="center" vertical="center"/>
    </xf>
    <xf numFmtId="167" fontId="0" fillId="0" borderId="0" xfId="0" applyNumberFormat="1"/>
    <xf numFmtId="0" fontId="15" fillId="0" borderId="0" xfId="0" applyFont="1" applyAlignment="1">
      <alignment horizontal="left"/>
    </xf>
    <xf numFmtId="0" fontId="16" fillId="19" borderId="4" xfId="0" applyFont="1" applyFill="1" applyBorder="1" applyAlignment="1">
      <alignment horizontal="center"/>
    </xf>
    <xf numFmtId="3" fontId="26" fillId="22" borderId="0" xfId="0" applyNumberFormat="1" applyFont="1" applyFill="1" applyAlignment="1">
      <alignment vertical="center"/>
    </xf>
    <xf numFmtId="0" fontId="0" fillId="24" borderId="0" xfId="0" applyFill="1"/>
    <xf numFmtId="0" fontId="0" fillId="25" borderId="0" xfId="0" applyFill="1"/>
    <xf numFmtId="0" fontId="7" fillId="25" borderId="0" xfId="0" applyFont="1" applyFill="1"/>
    <xf numFmtId="3" fontId="27" fillId="26" borderId="10" xfId="0" applyNumberFormat="1" applyFont="1" applyFill="1" applyBorder="1" applyAlignment="1">
      <alignment vertical="center"/>
    </xf>
    <xf numFmtId="3" fontId="27" fillId="26" borderId="11" xfId="0" applyNumberFormat="1" applyFont="1" applyFill="1" applyBorder="1" applyAlignment="1">
      <alignment vertical="center"/>
    </xf>
    <xf numFmtId="10" fontId="0" fillId="0" borderId="0" xfId="0" applyNumberFormat="1"/>
    <xf numFmtId="174" fontId="0" fillId="0" borderId="0" xfId="0" applyNumberFormat="1"/>
    <xf numFmtId="0" fontId="0" fillId="0" borderId="12" xfId="0" applyBorder="1"/>
    <xf numFmtId="0" fontId="0" fillId="0" borderId="13" xfId="0" applyBorder="1"/>
    <xf numFmtId="3" fontId="0" fillId="0" borderId="13" xfId="0" applyNumberFormat="1" applyBorder="1"/>
    <xf numFmtId="0" fontId="0" fillId="0" borderId="0" xfId="0" applyAlignment="1">
      <alignment vertical="center"/>
    </xf>
    <xf numFmtId="0" fontId="28" fillId="27" borderId="0" xfId="0" applyFont="1" applyFill="1" applyAlignment="1">
      <alignment vertical="center"/>
    </xf>
    <xf numFmtId="0" fontId="28" fillId="27" borderId="0" xfId="0" applyFont="1" applyFill="1" applyAlignment="1">
      <alignment horizontal="center" vertical="center"/>
    </xf>
    <xf numFmtId="166" fontId="28" fillId="27" borderId="0" xfId="0" applyNumberFormat="1" applyFont="1" applyFill="1" applyAlignment="1">
      <alignment horizontal="right" vertical="center"/>
    </xf>
    <xf numFmtId="0" fontId="28" fillId="27" borderId="0" xfId="0" applyFont="1" applyFill="1" applyAlignment="1">
      <alignment horizontal="right" vertical="center"/>
    </xf>
    <xf numFmtId="164" fontId="0" fillId="0" borderId="14" xfId="0" applyNumberFormat="1" applyBorder="1"/>
    <xf numFmtId="164" fontId="0" fillId="0" borderId="15" xfId="0" applyNumberFormat="1" applyBorder="1"/>
    <xf numFmtId="0" fontId="0" fillId="0" borderId="15" xfId="0" applyBorder="1"/>
    <xf numFmtId="0" fontId="0" fillId="28" borderId="0" xfId="0" applyFill="1"/>
    <xf numFmtId="0" fontId="0" fillId="28" borderId="16" xfId="0" applyFill="1" applyBorder="1"/>
    <xf numFmtId="0" fontId="0" fillId="21" borderId="0" xfId="0" applyFill="1"/>
    <xf numFmtId="0" fontId="0" fillId="20" borderId="0" xfId="0" applyFill="1"/>
    <xf numFmtId="0" fontId="0" fillId="0" borderId="0" xfId="0" applyFill="1"/>
    <xf numFmtId="0" fontId="31" fillId="21" borderId="0" xfId="0" applyFont="1" applyFill="1"/>
    <xf numFmtId="0" fontId="32" fillId="20" borderId="0" xfId="0" applyFont="1" applyFill="1"/>
    <xf numFmtId="0" fontId="32" fillId="0" borderId="0" xfId="0" applyFont="1" applyFill="1"/>
    <xf numFmtId="0" fontId="18" fillId="0" borderId="0" xfId="0" applyFont="1" applyAlignment="1">
      <alignment horizontal="right"/>
    </xf>
    <xf numFmtId="0" fontId="6" fillId="23" borderId="0" xfId="0" applyFont="1" applyFill="1" applyAlignment="1">
      <alignment horizontal="center" vertical="center"/>
    </xf>
    <xf numFmtId="0" fontId="7" fillId="25" borderId="0" xfId="0" applyFont="1" applyFill="1" applyAlignment="1">
      <alignment horizontal="center"/>
    </xf>
    <xf numFmtId="0" fontId="24" fillId="8" borderId="0" xfId="0" applyFont="1" applyFill="1" applyAlignment="1">
      <alignment horizontal="center"/>
    </xf>
    <xf numFmtId="0" fontId="16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16" fillId="0" borderId="2" xfId="0" applyFont="1" applyBorder="1" applyAlignment="1">
      <alignment horizontal="left"/>
    </xf>
    <xf numFmtId="0" fontId="16" fillId="19" borderId="3" xfId="0" applyFont="1" applyFill="1" applyBorder="1" applyAlignment="1">
      <alignment horizontal="left"/>
    </xf>
    <xf numFmtId="0" fontId="16" fillId="19" borderId="4" xfId="0" applyFont="1" applyFill="1" applyBorder="1" applyAlignment="1">
      <alignment horizontal="left"/>
    </xf>
    <xf numFmtId="0" fontId="16" fillId="19" borderId="6" xfId="0" applyFont="1" applyFill="1" applyBorder="1" applyAlignment="1">
      <alignment horizontal="center"/>
    </xf>
    <xf numFmtId="0" fontId="16" fillId="19" borderId="4" xfId="0" applyFont="1" applyFill="1" applyBorder="1" applyAlignment="1">
      <alignment horizontal="center"/>
    </xf>
    <xf numFmtId="3" fontId="16" fillId="19" borderId="6" xfId="0" applyNumberFormat="1" applyFont="1" applyFill="1" applyBorder="1" applyAlignment="1">
      <alignment horizontal="center"/>
    </xf>
    <xf numFmtId="3" fontId="16" fillId="19" borderId="4" xfId="0" applyNumberFormat="1" applyFont="1" applyFill="1" applyBorder="1" applyAlignment="1">
      <alignment horizontal="center"/>
    </xf>
    <xf numFmtId="3" fontId="16" fillId="0" borderId="2" xfId="0" applyNumberFormat="1" applyFont="1" applyBorder="1" applyAlignment="1">
      <alignment horizontal="right"/>
    </xf>
    <xf numFmtId="3" fontId="16" fillId="0" borderId="0" xfId="0" applyNumberFormat="1" applyFont="1" applyAlignment="1">
      <alignment horizontal="right"/>
    </xf>
    <xf numFmtId="0" fontId="16" fillId="0" borderId="0" xfId="0" applyFont="1" applyAlignment="1">
      <alignment horizontal="right"/>
    </xf>
    <xf numFmtId="3" fontId="8" fillId="0" borderId="0" xfId="0" applyNumberFormat="1" applyFont="1" applyAlignment="1">
      <alignment horizontal="center"/>
    </xf>
    <xf numFmtId="0" fontId="0" fillId="24" borderId="0" xfId="0" applyFill="1" applyAlignment="1">
      <alignment horizontal="center" vertical="center"/>
    </xf>
    <xf numFmtId="164" fontId="15" fillId="0" borderId="0" xfId="0" applyNumberFormat="1" applyFont="1" applyBorder="1" applyAlignment="1">
      <alignment horizontal="right"/>
    </xf>
    <xf numFmtId="3" fontId="16" fillId="19" borderId="3" xfId="0" applyNumberFormat="1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Border="1" applyAlignment="1">
      <alignment horizontal="center" vertical="center"/>
    </xf>
    <xf numFmtId="0" fontId="15" fillId="0" borderId="0" xfId="0" applyFont="1" applyAlignment="1">
      <alignment horizontal="center"/>
    </xf>
    <xf numFmtId="3" fontId="16" fillId="0" borderId="2" xfId="0" applyNumberFormat="1" applyFont="1" applyBorder="1" applyAlignment="1">
      <alignment horizontal="center"/>
    </xf>
    <xf numFmtId="3" fontId="16" fillId="0" borderId="0" xfId="0" applyNumberFormat="1" applyFont="1" applyAlignment="1">
      <alignment horizontal="center"/>
    </xf>
    <xf numFmtId="168" fontId="18" fillId="0" borderId="0" xfId="0" applyNumberFormat="1" applyFont="1" applyBorder="1" applyAlignment="1">
      <alignment horizontal="right"/>
    </xf>
    <xf numFmtId="169" fontId="15" fillId="0" borderId="0" xfId="0" applyNumberFormat="1" applyFont="1" applyBorder="1" applyAlignment="1">
      <alignment horizontal="right"/>
    </xf>
    <xf numFmtId="0" fontId="0" fillId="0" borderId="7" xfId="0" applyBorder="1" applyAlignment="1">
      <alignment horizontal="center"/>
    </xf>
    <xf numFmtId="0" fontId="0" fillId="0" borderId="0" xfId="0" applyFill="1" applyAlignment="1">
      <alignment horizontal="left" vertical="top"/>
    </xf>
    <xf numFmtId="0" fontId="29" fillId="28" borderId="0" xfId="0" applyFont="1" applyFill="1" applyAlignment="1">
      <alignment horizontal="center"/>
    </xf>
    <xf numFmtId="0" fontId="34" fillId="28" borderId="16" xfId="0" applyFont="1" applyFill="1" applyBorder="1" applyAlignment="1">
      <alignment horizontal="center" vertical="top"/>
    </xf>
    <xf numFmtId="0" fontId="30" fillId="0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30" fillId="21" borderId="0" xfId="0" applyFont="1" applyFill="1" applyAlignment="1">
      <alignment horizontal="left" vertical="top"/>
    </xf>
    <xf numFmtId="0" fontId="31" fillId="21" borderId="0" xfId="0" applyFont="1" applyFill="1" applyAlignment="1">
      <alignment horizontal="left" vertical="top"/>
    </xf>
    <xf numFmtId="0" fontId="0" fillId="21" borderId="0" xfId="0" applyFill="1" applyAlignment="1">
      <alignment horizontal="right" vertical="center"/>
    </xf>
    <xf numFmtId="0" fontId="0" fillId="0" borderId="0" xfId="0" applyFill="1" applyAlignment="1">
      <alignment horizontal="right" vertical="center"/>
    </xf>
    <xf numFmtId="3" fontId="0" fillId="0" borderId="0" xfId="0" applyNumberFormat="1" applyFill="1" applyAlignment="1">
      <alignment horizontal="right" vertical="center"/>
    </xf>
    <xf numFmtId="0" fontId="31" fillId="21" borderId="0" xfId="0" applyFont="1" applyFill="1" applyAlignment="1">
      <alignment horizontal="right" vertical="center"/>
    </xf>
    <xf numFmtId="3" fontId="33" fillId="20" borderId="0" xfId="0" applyNumberFormat="1" applyFont="1" applyFill="1" applyAlignment="1">
      <alignment horizontal="right" vertical="top"/>
    </xf>
    <xf numFmtId="0" fontId="33" fillId="20" borderId="0" xfId="0" applyFont="1" applyFill="1" applyAlignment="1">
      <alignment horizontal="left" vertical="top"/>
    </xf>
    <xf numFmtId="0" fontId="33" fillId="0" borderId="0" xfId="0" applyFont="1" applyFill="1" applyAlignment="1">
      <alignment horizontal="left" vertical="top"/>
    </xf>
    <xf numFmtId="3" fontId="33" fillId="0" borderId="0" xfId="0" applyNumberFormat="1" applyFont="1" applyFill="1" applyAlignment="1">
      <alignment horizontal="right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0208B"/>
      <color rgb="FFE60000"/>
      <color rgb="FF640000"/>
      <color rgb="FFFF0D86"/>
      <color rgb="FF962290"/>
      <color rgb="FFFEE2F7"/>
      <color rgb="FFFF3399"/>
      <color rgb="FFFFC409"/>
      <color rgb="FFAF27A9"/>
      <color rgb="FFFBCD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190499</xdr:colOff>
      <xdr:row>14</xdr:row>
      <xdr:rowOff>95250</xdr:rowOff>
    </xdr:from>
    <xdr:to>
      <xdr:col>8</xdr:col>
      <xdr:colOff>257174</xdr:colOff>
      <xdr:row>17</xdr:row>
      <xdr:rowOff>9525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3619499" y="2762250"/>
          <a:ext cx="2124075" cy="485775"/>
        </a:xfrm>
        <a:prstGeom prst="roundRect">
          <a:avLst>
            <a:gd name="adj" fmla="val 21605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8500" dist="508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Bradley Hand ITC" panose="03070402050302030203" pitchFamily="66" charset="0"/>
            </a:rPr>
            <a:t>Launch Form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1085850</xdr:colOff>
      <xdr:row>0</xdr:row>
      <xdr:rowOff>104775</xdr:rowOff>
    </xdr:from>
    <xdr:to>
      <xdr:col>8</xdr:col>
      <xdr:colOff>38100</xdr:colOff>
      <xdr:row>0</xdr:row>
      <xdr:rowOff>247650</xdr:rowOff>
    </xdr:to>
    <xdr:sp macro="" textlink="">
      <xdr:nvSpPr>
        <xdr:cNvPr id="2" name="Arrow: Chevron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9020175" y="104775"/>
          <a:ext cx="180975" cy="142875"/>
        </a:xfrm>
        <a:prstGeom prst="chevron">
          <a:avLst/>
        </a:prstGeom>
        <a:ln w="38100">
          <a:solidFill>
            <a:srgbClr val="FF3399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1085850</xdr:colOff>
      <xdr:row>0</xdr:row>
      <xdr:rowOff>104775</xdr:rowOff>
    </xdr:from>
    <xdr:to>
      <xdr:col>9</xdr:col>
      <xdr:colOff>38100</xdr:colOff>
      <xdr:row>0</xdr:row>
      <xdr:rowOff>247650</xdr:rowOff>
    </xdr:to>
    <xdr:sp macro="" textlink="">
      <xdr:nvSpPr>
        <xdr:cNvPr id="4" name="Arrow: Chevron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9020175" y="104775"/>
          <a:ext cx="180975" cy="142875"/>
        </a:xfrm>
        <a:prstGeom prst="chevron">
          <a:avLst/>
        </a:prstGeom>
        <a:ln w="38100">
          <a:solidFill>
            <a:srgbClr val="FF3399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showGridLines="0" workbookViewId="0">
      <selection activeCell="C34" sqref="C34"/>
    </sheetView>
  </sheetViews>
  <sheetFormatPr defaultRowHeight="15" x14ac:dyDescent="0.25"/>
  <cols>
    <col min="1" max="1" width="9" style="58"/>
    <col min="2" max="2" width="14.42578125" style="58" customWidth="1"/>
    <col min="3" max="3" width="11.5703125" style="58" customWidth="1"/>
    <col min="4" max="4" width="11.42578125" style="58" customWidth="1"/>
    <col min="5" max="5" width="16.7109375" style="58" customWidth="1"/>
    <col min="6" max="6" width="13.7109375" style="58" customWidth="1"/>
    <col min="7" max="7" width="17.5703125" style="58" customWidth="1"/>
    <col min="8" max="8" width="16.42578125" style="58" customWidth="1"/>
    <col min="9" max="9" width="11.42578125" style="58" customWidth="1"/>
    <col min="10" max="10" width="21.42578125" style="60" customWidth="1"/>
  </cols>
  <sheetData>
    <row r="1" spans="1:12" ht="21.75" customHeight="1" x14ac:dyDescent="0.25">
      <c r="A1" s="56" t="s">
        <v>7</v>
      </c>
      <c r="B1" s="56" t="s">
        <v>8</v>
      </c>
      <c r="C1" s="56" t="s">
        <v>66</v>
      </c>
      <c r="D1" s="56" t="s">
        <v>9</v>
      </c>
      <c r="E1" s="56" t="s">
        <v>10</v>
      </c>
      <c r="F1" s="56" t="s">
        <v>11</v>
      </c>
      <c r="G1" s="56" t="s">
        <v>12</v>
      </c>
      <c r="H1" s="56" t="s">
        <v>13</v>
      </c>
      <c r="I1" s="56" t="s">
        <v>15</v>
      </c>
      <c r="J1" s="57" t="s">
        <v>14</v>
      </c>
      <c r="K1" s="50">
        <f>COUNTA(A:A)-1</f>
        <v>1</v>
      </c>
      <c r="L1" s="50" t="str">
        <f>IF(K1&lt;=1,"Product","Products")</f>
        <v>Product</v>
      </c>
    </row>
    <row r="2" spans="1:12" x14ac:dyDescent="0.25">
      <c r="A2" s="58">
        <v>1</v>
      </c>
      <c r="B2" s="58" t="s">
        <v>134</v>
      </c>
      <c r="C2" s="58">
        <v>1</v>
      </c>
      <c r="D2" s="58" t="s">
        <v>135</v>
      </c>
      <c r="E2" s="59">
        <v>1000</v>
      </c>
      <c r="F2" s="59">
        <v>1500</v>
      </c>
      <c r="G2" s="58">
        <v>15</v>
      </c>
      <c r="H2" s="58">
        <v>5</v>
      </c>
      <c r="I2" s="58" t="s">
        <v>136</v>
      </c>
      <c r="J2" s="60" t="s">
        <v>137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4"/>
  <dimension ref="A1:C2"/>
  <sheetViews>
    <sheetView showGridLines="0" workbookViewId="0">
      <selection sqref="A1:C2"/>
    </sheetView>
  </sheetViews>
  <sheetFormatPr defaultRowHeight="15" x14ac:dyDescent="0.25"/>
  <cols>
    <col min="1" max="1" width="15.7109375" customWidth="1"/>
    <col min="2" max="2" width="13" style="21" customWidth="1"/>
    <col min="3" max="3" width="12.42578125" style="97" customWidth="1"/>
  </cols>
  <sheetData>
    <row r="1" spans="1:3" ht="15.75" x14ac:dyDescent="0.25">
      <c r="A1" s="3" t="s">
        <v>17</v>
      </c>
      <c r="B1" s="21" t="s">
        <v>56</v>
      </c>
      <c r="C1" s="97" t="s">
        <v>118</v>
      </c>
    </row>
    <row r="2" spans="1:3" x14ac:dyDescent="0.25">
      <c r="A2" t="s">
        <v>40</v>
      </c>
      <c r="B2" s="21">
        <v>0</v>
      </c>
      <c r="C2" s="97" t="e">
        <v>#DIV/0!</v>
      </c>
    </row>
  </sheetData>
  <sortState xmlns:xlrd2="http://schemas.microsoft.com/office/spreadsheetml/2017/richdata2" ref="A2:C2">
    <sortCondition descending="1"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5"/>
  <dimension ref="A1:C2"/>
  <sheetViews>
    <sheetView showGridLines="0" workbookViewId="0">
      <selection sqref="A1:C2"/>
    </sheetView>
  </sheetViews>
  <sheetFormatPr defaultRowHeight="15" x14ac:dyDescent="0.25"/>
  <cols>
    <col min="1" max="1" width="17.5703125" customWidth="1"/>
    <col min="2" max="2" width="14.5703125" style="21" customWidth="1"/>
    <col min="3" max="3" width="12.42578125" style="98" customWidth="1"/>
  </cols>
  <sheetData>
    <row r="1" spans="1:3" ht="15.75" x14ac:dyDescent="0.25">
      <c r="A1" s="4" t="s">
        <v>24</v>
      </c>
      <c r="B1" s="21" t="s">
        <v>56</v>
      </c>
      <c r="C1" s="98" t="s">
        <v>118</v>
      </c>
    </row>
    <row r="2" spans="1:3" x14ac:dyDescent="0.25">
      <c r="A2" t="s">
        <v>39</v>
      </c>
      <c r="B2" s="21">
        <v>0</v>
      </c>
      <c r="C2" s="98" t="e">
        <v>#DIV/0!</v>
      </c>
    </row>
  </sheetData>
  <sortState xmlns:xlrd2="http://schemas.microsoft.com/office/spreadsheetml/2017/richdata2" ref="A2:C2">
    <sortCondition descending="1" ref="B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3"/>
  <dimension ref="B2:B8"/>
  <sheetViews>
    <sheetView workbookViewId="0">
      <selection activeCell="C18" sqref="C18"/>
    </sheetView>
  </sheetViews>
  <sheetFormatPr defaultRowHeight="15" x14ac:dyDescent="0.25"/>
  <cols>
    <col min="1" max="1" width="13.42578125" customWidth="1"/>
    <col min="2" max="2" width="14.5703125" customWidth="1"/>
  </cols>
  <sheetData>
    <row r="2" spans="2:2" x14ac:dyDescent="0.25">
      <c r="B2" s="21">
        <v>0</v>
      </c>
    </row>
    <row r="3" spans="2:2" x14ac:dyDescent="0.25">
      <c r="B3" s="21">
        <v>0</v>
      </c>
    </row>
    <row r="4" spans="2:2" x14ac:dyDescent="0.25">
      <c r="B4" s="21">
        <v>0</v>
      </c>
    </row>
    <row r="5" spans="2:2" x14ac:dyDescent="0.25">
      <c r="B5" s="21">
        <v>0</v>
      </c>
    </row>
    <row r="6" spans="2:2" x14ac:dyDescent="0.25">
      <c r="B6" s="21">
        <v>0</v>
      </c>
    </row>
    <row r="7" spans="2:2" x14ac:dyDescent="0.25">
      <c r="B7" s="21">
        <v>22500</v>
      </c>
    </row>
    <row r="8" spans="2:2" x14ac:dyDescent="0.25">
      <c r="B8" s="2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K20"/>
  <sheetViews>
    <sheetView showGridLines="0" workbookViewId="0">
      <selection sqref="A1:K1"/>
    </sheetView>
  </sheetViews>
  <sheetFormatPr defaultRowHeight="15" x14ac:dyDescent="0.25"/>
  <cols>
    <col min="11" max="11" width="16.7109375" customWidth="1"/>
  </cols>
  <sheetData>
    <row r="1" spans="1:11" x14ac:dyDescent="0.25">
      <c r="A1" t="s">
        <v>27</v>
      </c>
      <c r="B1" t="s">
        <v>109</v>
      </c>
      <c r="C1" t="s">
        <v>110</v>
      </c>
      <c r="D1" t="s">
        <v>30</v>
      </c>
      <c r="E1" t="s">
        <v>31</v>
      </c>
      <c r="F1" t="s">
        <v>32</v>
      </c>
      <c r="G1" t="s">
        <v>33</v>
      </c>
      <c r="H1" t="s">
        <v>26</v>
      </c>
      <c r="I1" t="s">
        <v>34</v>
      </c>
      <c r="J1" t="s">
        <v>22</v>
      </c>
      <c r="K1" t="s">
        <v>63</v>
      </c>
    </row>
    <row r="2" spans="1:11" x14ac:dyDescent="0.25">
      <c r="C2" s="21"/>
      <c r="G2" s="21"/>
      <c r="H2" s="21"/>
      <c r="J2" s="7"/>
      <c r="K2" s="82"/>
    </row>
    <row r="3" spans="1:11" x14ac:dyDescent="0.25">
      <c r="C3" s="21"/>
      <c r="G3" s="21"/>
      <c r="H3" s="21"/>
      <c r="J3" s="7"/>
      <c r="K3" s="82"/>
    </row>
    <row r="4" spans="1:11" x14ac:dyDescent="0.25">
      <c r="C4" s="21"/>
      <c r="G4" s="21"/>
      <c r="H4" s="21"/>
      <c r="J4" s="7"/>
      <c r="K4" s="82"/>
    </row>
    <row r="5" spans="1:11" x14ac:dyDescent="0.25">
      <c r="C5" s="21"/>
      <c r="G5" s="21"/>
      <c r="H5" s="21"/>
      <c r="J5" s="7"/>
      <c r="K5" s="82"/>
    </row>
    <row r="6" spans="1:11" x14ac:dyDescent="0.25">
      <c r="C6" s="21"/>
      <c r="G6" s="21"/>
      <c r="H6" s="21"/>
      <c r="J6" s="7"/>
      <c r="K6" s="82"/>
    </row>
    <row r="7" spans="1:11" x14ac:dyDescent="0.25">
      <c r="J7" s="7"/>
      <c r="K7" s="82"/>
    </row>
    <row r="8" spans="1:11" x14ac:dyDescent="0.25">
      <c r="C8" s="21"/>
      <c r="G8" s="21"/>
      <c r="H8" s="21"/>
      <c r="J8" s="7"/>
      <c r="K8" s="82"/>
    </row>
    <row r="9" spans="1:11" x14ac:dyDescent="0.25">
      <c r="C9" s="21"/>
      <c r="G9" s="21"/>
      <c r="H9" s="21"/>
      <c r="J9" s="7"/>
      <c r="K9" s="82"/>
    </row>
    <row r="10" spans="1:11" x14ac:dyDescent="0.25">
      <c r="C10" s="21"/>
      <c r="G10" s="21"/>
      <c r="H10" s="21"/>
      <c r="J10" s="7"/>
      <c r="K10" s="82"/>
    </row>
    <row r="11" spans="1:11" x14ac:dyDescent="0.25">
      <c r="C11" s="21"/>
      <c r="G11" s="21"/>
      <c r="H11" s="21"/>
      <c r="J11" s="7"/>
      <c r="K11" s="82"/>
    </row>
    <row r="12" spans="1:11" x14ac:dyDescent="0.25">
      <c r="C12" s="21"/>
      <c r="G12" s="21"/>
      <c r="H12" s="21"/>
      <c r="J12" s="7"/>
      <c r="K12" s="82"/>
    </row>
    <row r="13" spans="1:11" x14ac:dyDescent="0.25">
      <c r="C13" s="21"/>
      <c r="G13" s="21"/>
      <c r="H13" s="21"/>
      <c r="J13" s="7"/>
      <c r="K13" s="82"/>
    </row>
    <row r="14" spans="1:11" x14ac:dyDescent="0.25">
      <c r="J14" s="7"/>
      <c r="K14" s="82"/>
    </row>
    <row r="15" spans="1:11" x14ac:dyDescent="0.25">
      <c r="C15" s="21"/>
      <c r="G15" s="21"/>
      <c r="H15" s="21"/>
      <c r="J15" s="7"/>
      <c r="K15" s="82"/>
    </row>
    <row r="16" spans="1:11" x14ac:dyDescent="0.25">
      <c r="C16" s="21"/>
      <c r="G16" s="21"/>
      <c r="H16" s="21"/>
      <c r="J16" s="7"/>
      <c r="K16" s="82"/>
    </row>
    <row r="17" spans="3:11" x14ac:dyDescent="0.25">
      <c r="C17" s="21"/>
      <c r="G17" s="21"/>
      <c r="H17" s="21"/>
      <c r="J17" s="7"/>
      <c r="K17" s="82"/>
    </row>
    <row r="18" spans="3:11" x14ac:dyDescent="0.25">
      <c r="C18" s="21"/>
      <c r="G18" s="21"/>
      <c r="H18" s="21"/>
      <c r="J18" s="7"/>
      <c r="K18" s="82"/>
    </row>
    <row r="19" spans="3:11" x14ac:dyDescent="0.25">
      <c r="C19" s="21"/>
      <c r="G19" s="21"/>
      <c r="H19" s="21"/>
      <c r="J19" s="7"/>
      <c r="K19" s="82"/>
    </row>
    <row r="20" spans="3:11" x14ac:dyDescent="0.25">
      <c r="C20" s="21"/>
      <c r="G20" s="21"/>
      <c r="H20" s="21"/>
      <c r="J20" s="7"/>
      <c r="K20" s="8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0"/>
  <dimension ref="B2:C10"/>
  <sheetViews>
    <sheetView showGridLines="0" workbookViewId="0">
      <selection activeCell="B30" sqref="B30"/>
    </sheetView>
  </sheetViews>
  <sheetFormatPr defaultRowHeight="15" x14ac:dyDescent="0.25"/>
  <cols>
    <col min="2" max="2" width="15.28515625" customWidth="1"/>
    <col min="3" max="3" width="17.42578125" customWidth="1"/>
  </cols>
  <sheetData>
    <row r="2" spans="2:3" ht="15.75" x14ac:dyDescent="0.25">
      <c r="B2" s="83">
        <v>45034</v>
      </c>
      <c r="C2" s="84">
        <v>45034</v>
      </c>
    </row>
    <row r="4" spans="2:3" ht="16.5" x14ac:dyDescent="0.3">
      <c r="B4" s="86" t="s">
        <v>100</v>
      </c>
      <c r="C4" s="85">
        <f>SUMIFS(Sales!H:H,Sales!A:A,"&gt;="&amp;Reports!B2,Sales!A:A,"&lt;="&amp;Reports!C2,Sales!C:C,"purchase")</f>
        <v>0</v>
      </c>
    </row>
    <row r="5" spans="2:3" ht="16.5" x14ac:dyDescent="0.3">
      <c r="B5" s="86" t="s">
        <v>101</v>
      </c>
      <c r="C5" s="85">
        <f>SUMIFS(Sales!H:H,Sales!A:A,"&gt;="&amp;Reports!B2,Sales!A:A,"&lt;="&amp;Reports!C2,Sales!C:C,"product")</f>
        <v>0</v>
      </c>
    </row>
    <row r="6" spans="2:3" ht="16.5" x14ac:dyDescent="0.3">
      <c r="B6" s="86" t="s">
        <v>102</v>
      </c>
      <c r="C6" s="85">
        <f>SUMIFS(Payment!E:E,Payment!B:B,"Recieve From",Payment!H:H,"&gt;="&amp;Reports!B2,Payment!H:H,"&lt;="&amp;Reports!C2)</f>
        <v>0</v>
      </c>
    </row>
    <row r="7" spans="2:3" ht="16.5" x14ac:dyDescent="0.3">
      <c r="B7" s="86" t="s">
        <v>103</v>
      </c>
      <c r="C7" s="85">
        <f>SUMIFS(Payment!E:E,Payment!B:B,"Pay To",Payment!H:H,"&gt;="&amp;Reports!B2,Payment!H:H,"&lt;="&amp;Reports!C2)</f>
        <v>0</v>
      </c>
    </row>
    <row r="8" spans="2:3" ht="16.5" x14ac:dyDescent="0.3">
      <c r="B8" s="86" t="s">
        <v>104</v>
      </c>
      <c r="C8" s="85">
        <f>SUMIFS(Expenses!G:G,Expenses!J:J,"&gt;="&amp;Reports!B2,Expenses!J:J,"&lt;="&amp;Reports!C2)</f>
        <v>0</v>
      </c>
    </row>
    <row r="9" spans="2:3" ht="16.5" x14ac:dyDescent="0.3">
      <c r="B9" s="86" t="s">
        <v>105</v>
      </c>
      <c r="C9" s="85">
        <f>SUMIFS(Sales!G:G,Sales!A:A,"&gt;="&amp;Reports!B2,Sales!A:A,"&lt;="&amp;Reports!C2)-SUMIFS(Expenses!G:G,Expenses!J:J,"&gt;="&amp;Reports!B2,Expenses!J:J,"&lt;="&amp;Reports!C2)</f>
        <v>0</v>
      </c>
    </row>
    <row r="10" spans="2:3" ht="16.5" x14ac:dyDescent="0.3">
      <c r="B10" s="86" t="s">
        <v>106</v>
      </c>
      <c r="C10" s="85">
        <f>SUMIFS(Sales!H:H,Sales!A:A,"&gt;="&amp;Reports!B2,Sales!A:A,"&lt;="&amp;Reports!C2,Sales!C:C,"service")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/>
  <dimension ref="A1:E21"/>
  <sheetViews>
    <sheetView showGridLines="0" workbookViewId="0">
      <selection activeCell="C30" sqref="C30"/>
    </sheetView>
  </sheetViews>
  <sheetFormatPr defaultRowHeight="15" x14ac:dyDescent="0.25"/>
  <cols>
    <col min="3" max="4" width="9" style="37"/>
  </cols>
  <sheetData>
    <row r="1" spans="1:5" x14ac:dyDescent="0.25">
      <c r="A1" s="51" t="s">
        <v>93</v>
      </c>
      <c r="B1" s="51" t="s">
        <v>84</v>
      </c>
      <c r="C1" s="52" t="s">
        <v>89</v>
      </c>
      <c r="D1" s="52" t="s">
        <v>90</v>
      </c>
      <c r="E1" s="51" t="s">
        <v>22</v>
      </c>
    </row>
    <row r="2" spans="1:5" x14ac:dyDescent="0.25">
      <c r="C2" s="53"/>
      <c r="D2" s="53"/>
      <c r="E2" s="7"/>
    </row>
    <row r="3" spans="1:5" x14ac:dyDescent="0.25">
      <c r="E3" s="7"/>
    </row>
    <row r="4" spans="1:5" x14ac:dyDescent="0.25">
      <c r="E4" s="7"/>
    </row>
    <row r="5" spans="1:5" x14ac:dyDescent="0.25">
      <c r="E5" s="7"/>
    </row>
    <row r="6" spans="1:5" x14ac:dyDescent="0.25">
      <c r="E6" s="7"/>
    </row>
    <row r="7" spans="1:5" x14ac:dyDescent="0.25">
      <c r="E7" s="7"/>
    </row>
    <row r="8" spans="1:5" x14ac:dyDescent="0.25">
      <c r="E8" s="7"/>
    </row>
    <row r="9" spans="1:5" x14ac:dyDescent="0.25">
      <c r="E9" s="7"/>
    </row>
    <row r="10" spans="1:5" x14ac:dyDescent="0.25">
      <c r="E10" s="7"/>
    </row>
    <row r="11" spans="1:5" x14ac:dyDescent="0.25">
      <c r="E11" s="7"/>
    </row>
    <row r="12" spans="1:5" x14ac:dyDescent="0.25">
      <c r="E12" s="7"/>
    </row>
    <row r="13" spans="1:5" x14ac:dyDescent="0.25">
      <c r="E13" s="7"/>
    </row>
    <row r="14" spans="1:5" x14ac:dyDescent="0.25">
      <c r="E14" s="7"/>
    </row>
    <row r="15" spans="1:5" x14ac:dyDescent="0.25">
      <c r="E15" s="7"/>
    </row>
    <row r="16" spans="1:5" x14ac:dyDescent="0.25">
      <c r="E16" s="7"/>
    </row>
    <row r="17" spans="5:5" x14ac:dyDescent="0.25">
      <c r="E17" s="7"/>
    </row>
    <row r="18" spans="5:5" x14ac:dyDescent="0.25">
      <c r="E18" s="7"/>
    </row>
    <row r="19" spans="5:5" x14ac:dyDescent="0.25">
      <c r="E19" s="7"/>
    </row>
    <row r="20" spans="5:5" x14ac:dyDescent="0.25">
      <c r="E20" s="7"/>
    </row>
    <row r="21" spans="5:5" x14ac:dyDescent="0.25">
      <c r="E21" s="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13"/>
  <sheetViews>
    <sheetView workbookViewId="0">
      <selection activeCell="A3" sqref="A3:XFD6"/>
    </sheetView>
  </sheetViews>
  <sheetFormatPr defaultRowHeight="15" x14ac:dyDescent="0.25"/>
  <cols>
    <col min="1" max="2" width="17.5703125" customWidth="1"/>
    <col min="3" max="3" width="17.5703125" style="35" customWidth="1"/>
    <col min="4" max="7" width="17.5703125" customWidth="1"/>
    <col min="8" max="8" width="20.42578125" customWidth="1"/>
    <col min="10" max="10" width="12.5703125" customWidth="1"/>
  </cols>
  <sheetData>
    <row r="1" spans="1:10" ht="15.75" x14ac:dyDescent="0.25">
      <c r="A1" s="4" t="s">
        <v>23</v>
      </c>
      <c r="B1" s="4" t="s">
        <v>24</v>
      </c>
      <c r="C1" s="11" t="s">
        <v>25</v>
      </c>
      <c r="D1" s="4" t="s">
        <v>67</v>
      </c>
      <c r="E1" s="4" t="s">
        <v>19</v>
      </c>
      <c r="F1" s="4" t="s">
        <v>21</v>
      </c>
      <c r="G1" s="4" t="s">
        <v>18</v>
      </c>
      <c r="H1" s="4" t="s">
        <v>14</v>
      </c>
    </row>
    <row r="2" spans="1:10" x14ac:dyDescent="0.25">
      <c r="A2">
        <v>1</v>
      </c>
      <c r="B2" t="s">
        <v>39</v>
      </c>
      <c r="C2" s="35">
        <v>0</v>
      </c>
      <c r="H2" t="s">
        <v>42</v>
      </c>
    </row>
    <row r="3" spans="1:10" x14ac:dyDescent="0.25">
      <c r="F3" s="21"/>
    </row>
    <row r="10" spans="1:10" x14ac:dyDescent="0.25">
      <c r="J10" s="5"/>
    </row>
    <row r="12" spans="1:10" x14ac:dyDescent="0.25">
      <c r="J12" s="6"/>
    </row>
    <row r="13" spans="1:10" x14ac:dyDescent="0.25">
      <c r="J13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K22"/>
  <sheetViews>
    <sheetView showGridLines="0" workbookViewId="0">
      <selection activeCell="A2" sqref="A2:XFD22"/>
    </sheetView>
  </sheetViews>
  <sheetFormatPr defaultRowHeight="15" x14ac:dyDescent="0.25"/>
  <cols>
    <col min="5" max="5" width="15" customWidth="1"/>
    <col min="8" max="8" width="10.7109375" customWidth="1"/>
    <col min="9" max="9" width="11.42578125" customWidth="1"/>
    <col min="11" max="11" width="11.7109375" customWidth="1"/>
  </cols>
  <sheetData>
    <row r="1" spans="1:11" x14ac:dyDescent="0.25">
      <c r="A1" s="8" t="s">
        <v>27</v>
      </c>
      <c r="B1" s="8" t="s">
        <v>109</v>
      </c>
      <c r="C1" s="8" t="s">
        <v>110</v>
      </c>
      <c r="D1" s="8" t="s">
        <v>30</v>
      </c>
      <c r="E1" s="8" t="s">
        <v>31</v>
      </c>
      <c r="F1" s="8" t="s">
        <v>32</v>
      </c>
      <c r="G1" s="8" t="s">
        <v>33</v>
      </c>
      <c r="H1" s="8" t="s">
        <v>26</v>
      </c>
      <c r="I1" s="8" t="s">
        <v>34</v>
      </c>
      <c r="J1" s="8" t="s">
        <v>22</v>
      </c>
      <c r="K1" s="8" t="s">
        <v>63</v>
      </c>
    </row>
    <row r="2" spans="1:11" x14ac:dyDescent="0.25">
      <c r="C2" s="21"/>
      <c r="G2" s="21"/>
      <c r="H2" s="21"/>
      <c r="J2" s="7"/>
      <c r="K2" s="82"/>
    </row>
    <row r="3" spans="1:11" x14ac:dyDescent="0.25">
      <c r="C3" s="21"/>
      <c r="G3" s="21"/>
      <c r="J3" s="7"/>
      <c r="K3" s="82"/>
    </row>
    <row r="4" spans="1:11" x14ac:dyDescent="0.25">
      <c r="C4" s="21"/>
      <c r="G4" s="21"/>
      <c r="H4" s="21"/>
      <c r="J4" s="7"/>
      <c r="K4" s="82"/>
    </row>
    <row r="5" spans="1:11" x14ac:dyDescent="0.25">
      <c r="C5" s="21"/>
      <c r="G5" s="21"/>
      <c r="H5" s="21"/>
      <c r="J5" s="7"/>
      <c r="K5" s="82"/>
    </row>
    <row r="6" spans="1:11" x14ac:dyDescent="0.25">
      <c r="C6" s="21"/>
      <c r="G6" s="21"/>
      <c r="H6" s="21"/>
      <c r="J6" s="7"/>
      <c r="K6" s="82"/>
    </row>
    <row r="7" spans="1:11" x14ac:dyDescent="0.25">
      <c r="C7" s="21"/>
      <c r="G7" s="21"/>
      <c r="H7" s="21"/>
      <c r="J7" s="7"/>
      <c r="K7" s="82"/>
    </row>
    <row r="8" spans="1:11" x14ac:dyDescent="0.25">
      <c r="C8" s="21"/>
      <c r="G8" s="21"/>
      <c r="H8" s="21"/>
      <c r="J8" s="7"/>
      <c r="K8" s="82"/>
    </row>
    <row r="9" spans="1:11" x14ac:dyDescent="0.25">
      <c r="C9" s="21"/>
      <c r="G9" s="21"/>
      <c r="H9" s="21"/>
      <c r="J9" s="7"/>
      <c r="K9" s="82"/>
    </row>
    <row r="10" spans="1:11" x14ac:dyDescent="0.25">
      <c r="C10" s="21"/>
      <c r="G10" s="21"/>
      <c r="H10" s="21"/>
      <c r="J10" s="7"/>
      <c r="K10" s="82"/>
    </row>
    <row r="11" spans="1:11" x14ac:dyDescent="0.25">
      <c r="J11" s="7"/>
      <c r="K11" s="82"/>
    </row>
    <row r="12" spans="1:11" x14ac:dyDescent="0.25">
      <c r="C12" s="21"/>
      <c r="G12" s="21"/>
      <c r="H12" s="21"/>
      <c r="J12" s="7"/>
      <c r="K12" s="82"/>
    </row>
    <row r="13" spans="1:11" x14ac:dyDescent="0.25">
      <c r="C13" s="21"/>
      <c r="G13" s="21"/>
      <c r="H13" s="21"/>
      <c r="J13" s="7"/>
      <c r="K13" s="82"/>
    </row>
    <row r="14" spans="1:11" x14ac:dyDescent="0.25">
      <c r="C14" s="21"/>
      <c r="G14" s="21"/>
      <c r="H14" s="21"/>
      <c r="J14" s="7"/>
      <c r="K14" s="82"/>
    </row>
    <row r="15" spans="1:11" x14ac:dyDescent="0.25">
      <c r="C15" s="21"/>
      <c r="G15" s="21"/>
      <c r="H15" s="21"/>
      <c r="J15" s="7"/>
      <c r="K15" s="82"/>
    </row>
    <row r="16" spans="1:11" x14ac:dyDescent="0.25">
      <c r="C16" s="21"/>
      <c r="G16" s="21"/>
      <c r="H16" s="21"/>
      <c r="J16" s="7"/>
      <c r="K16" s="82"/>
    </row>
    <row r="17" spans="3:11" x14ac:dyDescent="0.25">
      <c r="C17" s="21"/>
      <c r="G17" s="21"/>
      <c r="H17" s="21"/>
      <c r="J17" s="7"/>
      <c r="K17" s="82"/>
    </row>
    <row r="18" spans="3:11" x14ac:dyDescent="0.25">
      <c r="J18" s="7"/>
      <c r="K18" s="82"/>
    </row>
    <row r="19" spans="3:11" x14ac:dyDescent="0.25">
      <c r="C19" s="21"/>
      <c r="G19" s="21"/>
      <c r="H19" s="21"/>
      <c r="J19" s="7"/>
      <c r="K19" s="82"/>
    </row>
    <row r="20" spans="3:11" x14ac:dyDescent="0.25">
      <c r="C20" s="21"/>
      <c r="G20" s="21"/>
      <c r="H20" s="21"/>
      <c r="J20" s="7"/>
      <c r="K20" s="82"/>
    </row>
    <row r="21" spans="3:11" x14ac:dyDescent="0.25">
      <c r="C21" s="21"/>
      <c r="G21" s="21"/>
      <c r="H21" s="21"/>
      <c r="J21" s="7"/>
      <c r="K21" s="82"/>
    </row>
    <row r="22" spans="3:11" x14ac:dyDescent="0.25">
      <c r="C22" s="21"/>
      <c r="G22" s="21"/>
      <c r="H22" s="21"/>
      <c r="J22" s="7"/>
      <c r="K22" s="82"/>
    </row>
  </sheetData>
  <sortState xmlns:xlrd2="http://schemas.microsoft.com/office/spreadsheetml/2017/richdata2" ref="A22:K22">
    <sortCondition descending="1" ref="A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F28"/>
  <sheetViews>
    <sheetView workbookViewId="0">
      <selection activeCell="B8" sqref="B8"/>
    </sheetView>
  </sheetViews>
  <sheetFormatPr defaultRowHeight="15" x14ac:dyDescent="0.25"/>
  <cols>
    <col min="2" max="2" width="13.42578125" customWidth="1"/>
    <col min="3" max="3" width="9" style="13"/>
    <col min="5" max="5" width="15.7109375" customWidth="1"/>
  </cols>
  <sheetData>
    <row r="1" spans="1:6" x14ac:dyDescent="0.25">
      <c r="A1" t="s">
        <v>7</v>
      </c>
      <c r="B1" t="s">
        <v>34</v>
      </c>
      <c r="C1" t="s">
        <v>21</v>
      </c>
      <c r="D1" t="s">
        <v>30</v>
      </c>
      <c r="E1" t="s">
        <v>22</v>
      </c>
    </row>
    <row r="2" spans="1:6" x14ac:dyDescent="0.25">
      <c r="A2">
        <v>1</v>
      </c>
      <c r="B2" t="s">
        <v>132</v>
      </c>
      <c r="E2" s="7"/>
      <c r="F2" s="7"/>
    </row>
    <row r="3" spans="1:6" x14ac:dyDescent="0.25">
      <c r="A3">
        <v>2</v>
      </c>
      <c r="B3" t="s">
        <v>133</v>
      </c>
      <c r="E3" s="7"/>
      <c r="F3" s="7"/>
    </row>
    <row r="4" spans="1:6" x14ac:dyDescent="0.25">
      <c r="F4" s="7"/>
    </row>
    <row r="5" spans="1:6" x14ac:dyDescent="0.25">
      <c r="F5" s="7"/>
    </row>
    <row r="28" ht="15.75" customHeight="1" x14ac:dyDescent="0.25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H25"/>
  <sheetViews>
    <sheetView showGridLines="0" workbookViewId="0">
      <selection activeCell="A2" sqref="A2:XFD25"/>
    </sheetView>
  </sheetViews>
  <sheetFormatPr defaultRowHeight="15" x14ac:dyDescent="0.25"/>
  <cols>
    <col min="2" max="2" width="14.7109375" customWidth="1"/>
    <col min="3" max="3" width="11" customWidth="1"/>
    <col min="4" max="4" width="15" customWidth="1"/>
    <col min="5" max="5" width="11.42578125" customWidth="1"/>
    <col min="6" max="6" width="13.140625" customWidth="1"/>
    <col min="7" max="7" width="11.85546875" customWidth="1"/>
  </cols>
  <sheetData>
    <row r="1" spans="1:8" x14ac:dyDescent="0.25">
      <c r="A1" s="9" t="s">
        <v>35</v>
      </c>
      <c r="B1" s="9" t="s">
        <v>28</v>
      </c>
      <c r="C1" s="9" t="s">
        <v>36</v>
      </c>
      <c r="D1" s="9" t="s">
        <v>24</v>
      </c>
      <c r="E1" s="9" t="s">
        <v>29</v>
      </c>
      <c r="F1" s="9" t="s">
        <v>34</v>
      </c>
      <c r="G1" s="9" t="s">
        <v>37</v>
      </c>
      <c r="H1" s="9" t="s">
        <v>22</v>
      </c>
    </row>
    <row r="2" spans="1:8" x14ac:dyDescent="0.25">
      <c r="E2" s="21"/>
      <c r="H2" s="7"/>
    </row>
    <row r="3" spans="1:8" x14ac:dyDescent="0.25">
      <c r="E3" s="21"/>
      <c r="H3" s="7"/>
    </row>
    <row r="4" spans="1:8" x14ac:dyDescent="0.25">
      <c r="E4" s="21"/>
      <c r="H4" s="7"/>
    </row>
    <row r="5" spans="1:8" x14ac:dyDescent="0.25">
      <c r="E5" s="21"/>
      <c r="H5" s="7"/>
    </row>
    <row r="6" spans="1:8" x14ac:dyDescent="0.25">
      <c r="E6" s="21"/>
      <c r="H6" s="7"/>
    </row>
    <row r="7" spans="1:8" x14ac:dyDescent="0.25">
      <c r="E7" s="21"/>
      <c r="H7" s="7"/>
    </row>
    <row r="8" spans="1:8" x14ac:dyDescent="0.25">
      <c r="E8" s="21"/>
      <c r="H8" s="7"/>
    </row>
    <row r="9" spans="1:8" x14ac:dyDescent="0.25">
      <c r="E9" s="21"/>
      <c r="H9" s="7"/>
    </row>
    <row r="10" spans="1:8" x14ac:dyDescent="0.25">
      <c r="E10" s="21"/>
      <c r="H10" s="7"/>
    </row>
    <row r="11" spans="1:8" x14ac:dyDescent="0.25">
      <c r="E11" s="21"/>
      <c r="H11" s="7"/>
    </row>
    <row r="12" spans="1:8" x14ac:dyDescent="0.25">
      <c r="E12" s="21"/>
      <c r="H12" s="7"/>
    </row>
    <row r="13" spans="1:8" x14ac:dyDescent="0.25">
      <c r="E13" s="21"/>
      <c r="H13" s="7"/>
    </row>
    <row r="14" spans="1:8" x14ac:dyDescent="0.25">
      <c r="H14" s="7"/>
    </row>
    <row r="15" spans="1:8" x14ac:dyDescent="0.25">
      <c r="H15" s="7"/>
    </row>
    <row r="16" spans="1:8" x14ac:dyDescent="0.25">
      <c r="H16" s="7"/>
    </row>
    <row r="17" spans="5:8" x14ac:dyDescent="0.25">
      <c r="H17" s="7"/>
    </row>
    <row r="18" spans="5:8" x14ac:dyDescent="0.25">
      <c r="E18" s="21"/>
      <c r="H18" s="7"/>
    </row>
    <row r="19" spans="5:8" x14ac:dyDescent="0.25">
      <c r="E19" s="21"/>
      <c r="H19" s="7"/>
    </row>
    <row r="20" spans="5:8" x14ac:dyDescent="0.25">
      <c r="E20" s="21"/>
      <c r="H20" s="7"/>
    </row>
    <row r="21" spans="5:8" x14ac:dyDescent="0.25">
      <c r="E21" s="21"/>
      <c r="H21" s="7"/>
    </row>
    <row r="22" spans="5:8" x14ac:dyDescent="0.25">
      <c r="E22" s="21"/>
      <c r="H22" s="7"/>
    </row>
    <row r="23" spans="5:8" x14ac:dyDescent="0.25">
      <c r="E23" s="21"/>
      <c r="H23" s="7"/>
    </row>
    <row r="24" spans="5:8" x14ac:dyDescent="0.25">
      <c r="E24" s="21"/>
      <c r="H24" s="7"/>
    </row>
    <row r="25" spans="5:8" x14ac:dyDescent="0.25">
      <c r="E25" s="21"/>
      <c r="H25" s="7"/>
    </row>
  </sheetData>
  <sortState xmlns:xlrd2="http://schemas.microsoft.com/office/spreadsheetml/2017/richdata2" ref="A16:H19">
    <sortCondition descending="1" ref="A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5"/>
  <dimension ref="A1:E4"/>
  <sheetViews>
    <sheetView showGridLines="0" workbookViewId="0">
      <selection sqref="A1:E1"/>
    </sheetView>
  </sheetViews>
  <sheetFormatPr defaultRowHeight="15" x14ac:dyDescent="0.25"/>
  <sheetData>
    <row r="1" spans="1:5" x14ac:dyDescent="0.25">
      <c r="A1" t="s">
        <v>93</v>
      </c>
      <c r="B1" t="s">
        <v>84</v>
      </c>
      <c r="C1" t="s">
        <v>89</v>
      </c>
      <c r="D1" t="s">
        <v>90</v>
      </c>
      <c r="E1" t="s">
        <v>22</v>
      </c>
    </row>
    <row r="2" spans="1:5" x14ac:dyDescent="0.25">
      <c r="E2" s="7"/>
    </row>
    <row r="3" spans="1:5" x14ac:dyDescent="0.25">
      <c r="E3" s="7"/>
    </row>
    <row r="4" spans="1:5" x14ac:dyDescent="0.25">
      <c r="E4" s="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I2"/>
  <sheetViews>
    <sheetView showGridLines="0" workbookViewId="0">
      <selection sqref="A1:I2"/>
    </sheetView>
  </sheetViews>
  <sheetFormatPr defaultRowHeight="15" x14ac:dyDescent="0.25"/>
  <cols>
    <col min="1" max="1" width="14.42578125" style="58" customWidth="1"/>
    <col min="2" max="8" width="10.140625" customWidth="1"/>
    <col min="9" max="9" width="11.5703125" customWidth="1"/>
  </cols>
  <sheetData>
    <row r="1" spans="1:9" ht="20.25" customHeight="1" x14ac:dyDescent="0.25">
      <c r="A1" s="56" t="s">
        <v>8</v>
      </c>
      <c r="B1" t="s">
        <v>113</v>
      </c>
      <c r="C1" t="s">
        <v>86</v>
      </c>
      <c r="D1" t="s">
        <v>87</v>
      </c>
      <c r="E1" t="s">
        <v>115</v>
      </c>
      <c r="F1" t="s">
        <v>88</v>
      </c>
      <c r="G1" t="s">
        <v>90</v>
      </c>
      <c r="H1" t="s">
        <v>91</v>
      </c>
      <c r="I1" t="s">
        <v>92</v>
      </c>
    </row>
    <row r="2" spans="1:9" x14ac:dyDescent="0.25">
      <c r="A2" s="58" t="s">
        <v>134</v>
      </c>
      <c r="B2">
        <v>15</v>
      </c>
      <c r="C2">
        <v>0</v>
      </c>
      <c r="D2">
        <v>0</v>
      </c>
      <c r="E2">
        <v>0</v>
      </c>
      <c r="F2">
        <v>15</v>
      </c>
      <c r="G2">
        <v>0</v>
      </c>
      <c r="H2">
        <v>-15</v>
      </c>
      <c r="I2">
        <v>22500</v>
      </c>
    </row>
  </sheetData>
  <sortState xmlns:xlrd2="http://schemas.microsoft.com/office/spreadsheetml/2017/richdata2" ref="A2:I2">
    <sortCondition ref="F1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0"/>
  <dimension ref="A1:I2"/>
  <sheetViews>
    <sheetView workbookViewId="0">
      <selection sqref="A1:I2"/>
    </sheetView>
  </sheetViews>
  <sheetFormatPr defaultRowHeight="15" x14ac:dyDescent="0.25"/>
  <sheetData>
    <row r="1" spans="1:9" x14ac:dyDescent="0.25">
      <c r="A1" t="s">
        <v>8</v>
      </c>
      <c r="B1" t="s">
        <v>113</v>
      </c>
      <c r="C1" t="s">
        <v>86</v>
      </c>
      <c r="D1" t="s">
        <v>87</v>
      </c>
      <c r="E1" t="s">
        <v>115</v>
      </c>
      <c r="F1" t="s">
        <v>88</v>
      </c>
      <c r="G1" t="s">
        <v>90</v>
      </c>
      <c r="H1" t="s">
        <v>91</v>
      </c>
      <c r="I1" t="s">
        <v>92</v>
      </c>
    </row>
    <row r="2" spans="1:9" x14ac:dyDescent="0.25">
      <c r="A2" t="s">
        <v>134</v>
      </c>
      <c r="B2">
        <v>15</v>
      </c>
      <c r="C2">
        <v>0</v>
      </c>
      <c r="D2">
        <v>0</v>
      </c>
      <c r="E2">
        <v>0</v>
      </c>
      <c r="F2">
        <v>15</v>
      </c>
      <c r="G2">
        <v>0</v>
      </c>
      <c r="H2">
        <v>-15</v>
      </c>
      <c r="I2">
        <v>22500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/>
  <dimension ref="A1:H4"/>
  <sheetViews>
    <sheetView workbookViewId="0">
      <selection activeCell="A3" sqref="A3:XFD4"/>
    </sheetView>
  </sheetViews>
  <sheetFormatPr defaultRowHeight="15" x14ac:dyDescent="0.25"/>
  <cols>
    <col min="1" max="1" width="13.7109375" customWidth="1"/>
    <col min="2" max="2" width="15.7109375" customWidth="1"/>
    <col min="3" max="3" width="13.7109375" style="36" customWidth="1"/>
    <col min="4" max="5" width="13.7109375" customWidth="1"/>
    <col min="6" max="6" width="16.42578125" customWidth="1"/>
    <col min="7" max="7" width="14.28515625" customWidth="1"/>
    <col min="8" max="8" width="25.140625" customWidth="1"/>
  </cols>
  <sheetData>
    <row r="1" spans="1:8" ht="15.75" x14ac:dyDescent="0.25">
      <c r="A1" s="3" t="s">
        <v>16</v>
      </c>
      <c r="B1" s="3" t="s">
        <v>17</v>
      </c>
      <c r="C1" s="10" t="s">
        <v>20</v>
      </c>
      <c r="D1" s="3" t="s">
        <v>68</v>
      </c>
      <c r="E1" s="3" t="s">
        <v>19</v>
      </c>
      <c r="F1" s="3" t="s">
        <v>21</v>
      </c>
      <c r="G1" s="3" t="s">
        <v>18</v>
      </c>
      <c r="H1" s="3" t="s">
        <v>22</v>
      </c>
    </row>
    <row r="2" spans="1:8" x14ac:dyDescent="0.25">
      <c r="A2">
        <v>1</v>
      </c>
      <c r="B2" t="s">
        <v>40</v>
      </c>
      <c r="C2" s="36">
        <v>0</v>
      </c>
      <c r="E2" t="s">
        <v>82</v>
      </c>
      <c r="H2" t="s">
        <v>41</v>
      </c>
    </row>
    <row r="4" spans="1:8" x14ac:dyDescent="0.25">
      <c r="F4" s="2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/>
  <dimension ref="A1:B13"/>
  <sheetViews>
    <sheetView showGridLines="0" workbookViewId="0">
      <selection activeCell="C8" sqref="C8"/>
    </sheetView>
  </sheetViews>
  <sheetFormatPr defaultRowHeight="15" x14ac:dyDescent="0.25"/>
  <cols>
    <col min="1" max="1" width="17" customWidth="1"/>
    <col min="2" max="2" width="18.42578125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t="s">
        <v>0</v>
      </c>
      <c r="B2" t="s">
        <v>130</v>
      </c>
    </row>
    <row r="3" spans="1:2" x14ac:dyDescent="0.25">
      <c r="A3" t="s">
        <v>2</v>
      </c>
      <c r="B3" s="36">
        <v>1234567890</v>
      </c>
    </row>
    <row r="4" spans="1:2" x14ac:dyDescent="0.25">
      <c r="A4" t="s">
        <v>3</v>
      </c>
      <c r="B4" s="36">
        <v>987654321</v>
      </c>
    </row>
    <row r="5" spans="1:2" x14ac:dyDescent="0.25">
      <c r="A5" t="s">
        <v>4</v>
      </c>
      <c r="B5" t="s">
        <v>125</v>
      </c>
    </row>
    <row r="6" spans="1:2" x14ac:dyDescent="0.25">
      <c r="A6" t="s">
        <v>5</v>
      </c>
      <c r="B6" t="s">
        <v>126</v>
      </c>
    </row>
    <row r="7" spans="1:2" x14ac:dyDescent="0.25">
      <c r="A7" t="s">
        <v>6</v>
      </c>
      <c r="B7" t="s">
        <v>127</v>
      </c>
    </row>
    <row r="8" spans="1:2" x14ac:dyDescent="0.25">
      <c r="A8" t="s">
        <v>71</v>
      </c>
      <c r="B8" t="s">
        <v>128</v>
      </c>
    </row>
    <row r="9" spans="1:2" x14ac:dyDescent="0.25">
      <c r="A9" t="s">
        <v>72</v>
      </c>
    </row>
    <row r="10" spans="1:2" x14ac:dyDescent="0.25">
      <c r="A10" t="s">
        <v>73</v>
      </c>
    </row>
    <row r="11" spans="1:2" x14ac:dyDescent="0.25">
      <c r="A11" t="s">
        <v>74</v>
      </c>
    </row>
    <row r="12" spans="1:2" x14ac:dyDescent="0.25">
      <c r="A12" t="s">
        <v>75</v>
      </c>
      <c r="B12" t="s">
        <v>129</v>
      </c>
    </row>
    <row r="13" spans="1:2" x14ac:dyDescent="0.25">
      <c r="A13" t="s">
        <v>76</v>
      </c>
      <c r="B13">
        <v>987654321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D1"/>
  <sheetViews>
    <sheetView showGridLines="0" workbookViewId="0">
      <selection activeCell="A2" sqref="A2:XFD5"/>
    </sheetView>
  </sheetViews>
  <sheetFormatPr defaultRowHeight="15" x14ac:dyDescent="0.25"/>
  <sheetData>
    <row r="1" spans="1:4" x14ac:dyDescent="0.25">
      <c r="A1" s="12" t="s">
        <v>43</v>
      </c>
      <c r="B1" s="12" t="s">
        <v>44</v>
      </c>
      <c r="C1" s="12" t="s">
        <v>45</v>
      </c>
      <c r="D1" s="12" t="s">
        <v>46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H1"/>
  <sheetViews>
    <sheetView showGridLines="0" workbookViewId="0">
      <selection activeCell="C18" sqref="C18"/>
    </sheetView>
  </sheetViews>
  <sheetFormatPr defaultRowHeight="15" x14ac:dyDescent="0.25"/>
  <cols>
    <col min="1" max="1" width="9" style="14"/>
    <col min="2" max="2" width="19.7109375" style="14" customWidth="1"/>
    <col min="3" max="3" width="13.5703125" style="14" customWidth="1"/>
    <col min="4" max="5" width="12.7109375" style="15" customWidth="1"/>
    <col min="6" max="6" width="15.7109375" style="14" customWidth="1"/>
    <col min="7" max="7" width="14.85546875" style="16" customWidth="1"/>
    <col min="8" max="8" width="13.42578125" style="14" customWidth="1"/>
  </cols>
  <sheetData>
    <row r="1" spans="1:8" x14ac:dyDescent="0.25">
      <c r="A1" s="17" t="s">
        <v>47</v>
      </c>
      <c r="B1" s="17" t="s">
        <v>48</v>
      </c>
      <c r="C1" s="17" t="s">
        <v>49</v>
      </c>
      <c r="D1" s="18" t="s">
        <v>29</v>
      </c>
      <c r="E1" s="18" t="s">
        <v>52</v>
      </c>
      <c r="F1" s="17" t="s">
        <v>50</v>
      </c>
      <c r="G1" s="19" t="s">
        <v>22</v>
      </c>
      <c r="H1" s="17" t="s">
        <v>37</v>
      </c>
    </row>
  </sheetData>
  <sortState xmlns:xlrd2="http://schemas.microsoft.com/office/spreadsheetml/2017/richdata2" ref="A1:H1">
    <sortCondition descending="1" ref="A1"/>
  </sortState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F4"/>
  <sheetViews>
    <sheetView showGridLines="0" workbookViewId="0">
      <selection sqref="A1:F4"/>
    </sheetView>
  </sheetViews>
  <sheetFormatPr defaultRowHeight="15" x14ac:dyDescent="0.25"/>
  <cols>
    <col min="1" max="1" width="15.7109375" customWidth="1"/>
    <col min="2" max="2" width="19" customWidth="1"/>
    <col min="5" max="5" width="11.85546875" customWidth="1"/>
  </cols>
  <sheetData>
    <row r="1" spans="1:6" ht="16.5" x14ac:dyDescent="0.25">
      <c r="A1" s="3" t="s">
        <v>17</v>
      </c>
      <c r="B1" s="91" t="s">
        <v>113</v>
      </c>
      <c r="C1" s="91" t="s">
        <v>101</v>
      </c>
      <c r="D1" s="91" t="s">
        <v>117</v>
      </c>
      <c r="E1" s="91" t="s">
        <v>112</v>
      </c>
      <c r="F1" s="91" t="s">
        <v>26</v>
      </c>
    </row>
    <row r="2" spans="1:6" x14ac:dyDescent="0.25">
      <c r="A2" t="s">
        <v>40</v>
      </c>
      <c r="B2" s="21">
        <v>0</v>
      </c>
      <c r="C2" s="21">
        <v>0</v>
      </c>
      <c r="D2" s="21">
        <v>0</v>
      </c>
      <c r="E2" s="21">
        <v>0</v>
      </c>
      <c r="F2" s="21">
        <v>0</v>
      </c>
    </row>
    <row r="3" spans="1:6" x14ac:dyDescent="0.25">
      <c r="B3" s="21"/>
      <c r="C3" s="21"/>
      <c r="D3" s="21"/>
      <c r="E3" s="21"/>
      <c r="F3" s="21"/>
    </row>
    <row r="4" spans="1:6" x14ac:dyDescent="0.25">
      <c r="B4" s="21"/>
      <c r="C4" s="21"/>
      <c r="D4" s="21"/>
      <c r="E4" s="21"/>
      <c r="F4" s="21"/>
    </row>
  </sheetData>
  <sortState xmlns:xlrd2="http://schemas.microsoft.com/office/spreadsheetml/2017/richdata2" ref="A2:F4">
    <sortCondition ref="F1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2"/>
  <dimension ref="A1:F4"/>
  <sheetViews>
    <sheetView workbookViewId="0">
      <selection sqref="A1:F4"/>
    </sheetView>
  </sheetViews>
  <sheetFormatPr defaultRowHeight="15" x14ac:dyDescent="0.25"/>
  <cols>
    <col min="1" max="1" width="14.28515625" customWidth="1"/>
  </cols>
  <sheetData>
    <row r="1" spans="1:6" x14ac:dyDescent="0.25">
      <c r="A1" t="s">
        <v>17</v>
      </c>
      <c r="B1" s="21" t="s">
        <v>113</v>
      </c>
      <c r="C1" s="21" t="s">
        <v>101</v>
      </c>
      <c r="D1" s="21" t="s">
        <v>117</v>
      </c>
      <c r="E1" s="21" t="s">
        <v>112</v>
      </c>
      <c r="F1" s="21" t="s">
        <v>26</v>
      </c>
    </row>
    <row r="2" spans="1:6" x14ac:dyDescent="0.25">
      <c r="A2" t="s">
        <v>40</v>
      </c>
      <c r="B2" s="21">
        <v>0</v>
      </c>
      <c r="C2" s="21">
        <v>0</v>
      </c>
      <c r="D2" s="21">
        <v>0</v>
      </c>
      <c r="E2" s="21">
        <v>0</v>
      </c>
      <c r="F2" s="21">
        <v>0</v>
      </c>
    </row>
    <row r="3" spans="1:6" x14ac:dyDescent="0.25">
      <c r="B3" s="21"/>
      <c r="C3" s="21"/>
      <c r="D3" s="21"/>
      <c r="E3" s="21"/>
      <c r="F3" s="21"/>
    </row>
    <row r="4" spans="1:6" x14ac:dyDescent="0.25">
      <c r="B4" s="21"/>
      <c r="C4" s="21"/>
      <c r="D4" s="21"/>
      <c r="E4" s="21"/>
      <c r="F4" s="2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/>
  <dimension ref="A1:H2"/>
  <sheetViews>
    <sheetView showGridLines="0" workbookViewId="0">
      <selection sqref="A1:H2"/>
    </sheetView>
  </sheetViews>
  <sheetFormatPr defaultRowHeight="15" x14ac:dyDescent="0.25"/>
  <cols>
    <col min="1" max="1" width="17.5703125" customWidth="1"/>
    <col min="2" max="4" width="9" style="21"/>
    <col min="5" max="5" width="14" style="21" customWidth="1"/>
    <col min="6" max="7" width="9" style="21"/>
    <col min="8" max="8" width="17.140625" style="21" customWidth="1"/>
  </cols>
  <sheetData>
    <row r="1" spans="1:8" ht="21.75" customHeight="1" x14ac:dyDescent="0.25">
      <c r="A1" s="4" t="s">
        <v>24</v>
      </c>
      <c r="B1" s="95" t="s">
        <v>113</v>
      </c>
      <c r="C1" s="95" t="s">
        <v>83</v>
      </c>
      <c r="D1" s="95" t="s">
        <v>109</v>
      </c>
      <c r="E1" s="96" t="s">
        <v>116</v>
      </c>
      <c r="F1" s="96" t="s">
        <v>111</v>
      </c>
      <c r="G1" s="96" t="s">
        <v>101</v>
      </c>
      <c r="H1" s="96" t="s">
        <v>26</v>
      </c>
    </row>
    <row r="2" spans="1:8" x14ac:dyDescent="0.25">
      <c r="A2" t="s">
        <v>39</v>
      </c>
      <c r="B2" s="21">
        <v>0</v>
      </c>
      <c r="C2" s="21">
        <v>0</v>
      </c>
      <c r="D2" s="21">
        <v>0</v>
      </c>
      <c r="E2" s="21">
        <v>0</v>
      </c>
      <c r="F2" s="21">
        <v>0</v>
      </c>
      <c r="G2" s="21">
        <v>0</v>
      </c>
      <c r="H2" s="21">
        <v>0</v>
      </c>
    </row>
  </sheetData>
  <sortState xmlns:xlrd2="http://schemas.microsoft.com/office/spreadsheetml/2017/richdata2" ref="A2:H2">
    <sortCondition ref="H1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1"/>
  <dimension ref="A1:H4"/>
  <sheetViews>
    <sheetView workbookViewId="0">
      <selection sqref="A1:H2"/>
    </sheetView>
  </sheetViews>
  <sheetFormatPr defaultRowHeight="15" x14ac:dyDescent="0.25"/>
  <cols>
    <col min="2" max="2" width="11.42578125" customWidth="1"/>
    <col min="3" max="3" width="13.5703125" customWidth="1"/>
  </cols>
  <sheetData>
    <row r="1" spans="1:8" x14ac:dyDescent="0.25">
      <c r="A1" t="s">
        <v>24</v>
      </c>
      <c r="B1" s="21" t="s">
        <v>113</v>
      </c>
      <c r="C1" s="21" t="s">
        <v>83</v>
      </c>
      <c r="D1" s="21" t="s">
        <v>109</v>
      </c>
      <c r="E1" s="21" t="s">
        <v>116</v>
      </c>
      <c r="F1" s="21" t="s">
        <v>111</v>
      </c>
      <c r="G1" s="21" t="s">
        <v>101</v>
      </c>
      <c r="H1" s="21" t="s">
        <v>26</v>
      </c>
    </row>
    <row r="2" spans="1:8" x14ac:dyDescent="0.25">
      <c r="A2" t="s">
        <v>39</v>
      </c>
      <c r="B2" s="21">
        <v>0</v>
      </c>
      <c r="C2" s="21">
        <v>0</v>
      </c>
      <c r="D2" s="21">
        <v>0</v>
      </c>
      <c r="E2" s="21">
        <v>0</v>
      </c>
      <c r="F2" s="21">
        <v>0</v>
      </c>
      <c r="G2" s="21">
        <v>0</v>
      </c>
      <c r="H2" s="21">
        <v>0</v>
      </c>
    </row>
    <row r="3" spans="1:8" x14ac:dyDescent="0.25">
      <c r="B3" s="21"/>
      <c r="C3" s="21"/>
      <c r="D3" s="21"/>
      <c r="E3" s="21"/>
      <c r="F3" s="21"/>
      <c r="G3" s="21"/>
      <c r="H3" s="21"/>
    </row>
    <row r="4" spans="1:8" x14ac:dyDescent="0.25">
      <c r="B4" s="21"/>
      <c r="C4" s="21"/>
      <c r="D4" s="21"/>
      <c r="E4" s="21"/>
      <c r="F4" s="21"/>
      <c r="G4" s="21"/>
      <c r="H4" s="2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7"/>
  <dimension ref="A1:H12"/>
  <sheetViews>
    <sheetView showGridLines="0" workbookViewId="0">
      <selection sqref="A1:H1"/>
    </sheetView>
  </sheetViews>
  <sheetFormatPr defaultRowHeight="15" x14ac:dyDescent="0.25"/>
  <sheetData>
    <row r="1" spans="1:8" x14ac:dyDescent="0.25">
      <c r="A1" t="s">
        <v>47</v>
      </c>
      <c r="B1" t="s">
        <v>48</v>
      </c>
      <c r="C1" t="s">
        <v>49</v>
      </c>
      <c r="D1" s="13" t="s">
        <v>29</v>
      </c>
      <c r="E1" s="13" t="s">
        <v>52</v>
      </c>
      <c r="F1" t="s">
        <v>50</v>
      </c>
      <c r="G1" s="88" t="s">
        <v>22</v>
      </c>
      <c r="H1" t="s">
        <v>37</v>
      </c>
    </row>
    <row r="2" spans="1:8" x14ac:dyDescent="0.25">
      <c r="D2" s="13"/>
      <c r="E2" s="13"/>
      <c r="G2" s="88"/>
    </row>
    <row r="3" spans="1:8" x14ac:dyDescent="0.25">
      <c r="D3" s="13"/>
      <c r="E3" s="13"/>
      <c r="G3" s="88"/>
    </row>
    <row r="4" spans="1:8" x14ac:dyDescent="0.25">
      <c r="D4" s="13"/>
      <c r="E4" s="13"/>
      <c r="G4" s="88"/>
    </row>
    <row r="5" spans="1:8" x14ac:dyDescent="0.25">
      <c r="D5" s="13"/>
      <c r="E5" s="13"/>
      <c r="G5" s="88"/>
    </row>
    <row r="6" spans="1:8" x14ac:dyDescent="0.25">
      <c r="D6" s="13"/>
      <c r="E6" s="13"/>
      <c r="G6" s="88"/>
    </row>
    <row r="7" spans="1:8" x14ac:dyDescent="0.25">
      <c r="D7" s="13"/>
      <c r="E7" s="13"/>
      <c r="G7" s="88"/>
    </row>
    <row r="8" spans="1:8" x14ac:dyDescent="0.25">
      <c r="D8" s="13"/>
      <c r="E8" s="13"/>
      <c r="G8" s="88"/>
    </row>
    <row r="9" spans="1:8" x14ac:dyDescent="0.25">
      <c r="D9" s="13"/>
      <c r="E9" s="13"/>
      <c r="G9" s="88"/>
    </row>
    <row r="10" spans="1:8" x14ac:dyDescent="0.25">
      <c r="D10" s="13"/>
      <c r="E10" s="13"/>
      <c r="G10" s="88"/>
    </row>
    <row r="11" spans="1:8" x14ac:dyDescent="0.25">
      <c r="D11" s="13"/>
      <c r="E11" s="13"/>
      <c r="G11" s="88"/>
    </row>
    <row r="12" spans="1:8" x14ac:dyDescent="0.25">
      <c r="D12" s="13"/>
      <c r="E12" s="13"/>
      <c r="G12" s="88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5"/>
  <dimension ref="A1:J3"/>
  <sheetViews>
    <sheetView showGridLines="0" workbookViewId="0">
      <selection activeCell="J2" sqref="J2"/>
    </sheetView>
  </sheetViews>
  <sheetFormatPr defaultRowHeight="15" x14ac:dyDescent="0.25"/>
  <cols>
    <col min="1" max="1" width="13.42578125" customWidth="1"/>
    <col min="2" max="3" width="12.42578125" customWidth="1"/>
    <col min="4" max="5" width="12" customWidth="1"/>
    <col min="6" max="8" width="12.28515625" customWidth="1"/>
    <col min="9" max="9" width="13.140625" customWidth="1"/>
    <col min="10" max="10" width="12.7109375" customWidth="1"/>
  </cols>
  <sheetData>
    <row r="1" spans="1:10" ht="21.75" customHeight="1" x14ac:dyDescent="0.25">
      <c r="A1" t="s">
        <v>34</v>
      </c>
      <c r="B1" t="s">
        <v>85</v>
      </c>
      <c r="C1" t="s">
        <v>51</v>
      </c>
      <c r="D1" t="s">
        <v>101</v>
      </c>
      <c r="E1" t="s">
        <v>98</v>
      </c>
      <c r="F1" t="s">
        <v>107</v>
      </c>
      <c r="G1" t="s">
        <v>104</v>
      </c>
      <c r="H1" t="s">
        <v>33</v>
      </c>
      <c r="I1" t="s">
        <v>108</v>
      </c>
      <c r="J1" t="s">
        <v>26</v>
      </c>
    </row>
    <row r="2" spans="1:10" x14ac:dyDescent="0.25">
      <c r="A2" t="s">
        <v>132</v>
      </c>
      <c r="B2">
        <f>VLOOKUP(A2,Accounts!B:C,2,0)</f>
        <v>0</v>
      </c>
      <c r="C2">
        <f>SUMIFS(Transfers!D:D,Transfers!C:C,Acc_Balances!A2)</f>
        <v>0</v>
      </c>
      <c r="D2">
        <f>SUMIFS(Database!H:H,Database!I:I,Acc_Balances!A2,Database!C:C,"SALE")</f>
        <v>0</v>
      </c>
      <c r="E2">
        <f>SUMIFS(Payment!E:E,Payment!F:F,Acc_Balances!A2,Payment!B:B,"Recieved")</f>
        <v>0</v>
      </c>
      <c r="F2">
        <f>SUMIFS(Database!H:H,Database!I:I,Acc_Balances!A2,Database!C:C,"PURCHASE")</f>
        <v>0</v>
      </c>
      <c r="G2">
        <f>SUMIFS(Expenses!G:G,Expenses!I:I,Acc_Balances!A2)</f>
        <v>0</v>
      </c>
      <c r="H2">
        <f>SUMIFS(Payment!E:E,Payment!F:F,Acc_Balances!A2,Payment!B:B,"Paid")</f>
        <v>0</v>
      </c>
      <c r="I2">
        <f>SUMIFS(Transfers!D:D,Transfers!B:B,Acc_Balances!A2)</f>
        <v>0</v>
      </c>
      <c r="J2">
        <f>(B2+C2+D2+E2)-(F2+G2+H2+I2)</f>
        <v>0</v>
      </c>
    </row>
    <row r="3" spans="1:10" x14ac:dyDescent="0.25">
      <c r="A3" t="s">
        <v>133</v>
      </c>
      <c r="B3">
        <f>VLOOKUP(A3,Accounts!B:C,2,0)</f>
        <v>0</v>
      </c>
      <c r="C3">
        <f>SUMIFS(Transfers!D:D,Transfers!C:C,Acc_Balances!A3)</f>
        <v>0</v>
      </c>
      <c r="D3">
        <f>SUMIFS(Database!H:H,Database!I:I,Acc_Balances!A3,Database!C:C,"SALE")</f>
        <v>0</v>
      </c>
      <c r="E3">
        <f>SUMIFS(Payment!E:E,Payment!F:F,Acc_Balances!A3,Payment!B:B,"Recieved")</f>
        <v>0</v>
      </c>
      <c r="F3">
        <f>SUMIFS(Database!H:H,Database!I:I,Acc_Balances!A3,Database!C:C,"PURCHASE")</f>
        <v>0</v>
      </c>
      <c r="G3">
        <f>SUMIFS(Expenses!G:G,Expenses!I:I,Acc_Balances!A3)</f>
        <v>0</v>
      </c>
      <c r="H3">
        <f>SUMIFS(Payment!E:E,Payment!F:F,Acc_Balances!A3,Payment!B:B,"Paid")</f>
        <v>0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L46"/>
  <sheetViews>
    <sheetView showGridLines="0" workbookViewId="0">
      <selection activeCell="H26" sqref="H26"/>
    </sheetView>
  </sheetViews>
  <sheetFormatPr defaultRowHeight="15" x14ac:dyDescent="0.25"/>
  <cols>
    <col min="2" max="2" width="14.7109375" customWidth="1"/>
    <col min="3" max="3" width="8.85546875" customWidth="1"/>
    <col min="4" max="4" width="0.140625" customWidth="1"/>
    <col min="5" max="5" width="8.5703125" customWidth="1"/>
    <col min="7" max="7" width="0.42578125" customWidth="1"/>
    <col min="8" max="8" width="10.140625" customWidth="1"/>
    <col min="10" max="10" width="7.28515625" customWidth="1"/>
    <col min="11" max="11" width="4.42578125" customWidth="1"/>
    <col min="12" max="12" width="0.140625" hidden="1" customWidth="1"/>
  </cols>
  <sheetData>
    <row r="1" spans="1:12" ht="20.25" customHeight="1" x14ac:dyDescent="0.25">
      <c r="A1" s="119" t="s">
        <v>130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</row>
    <row r="2" spans="1:12" ht="14.25" customHeight="1" x14ac:dyDescent="0.25">
      <c r="A2" s="92"/>
      <c r="B2" s="135" t="s">
        <v>131</v>
      </c>
      <c r="C2" s="135"/>
      <c r="D2" s="135"/>
      <c r="E2" s="135"/>
      <c r="F2" s="135"/>
      <c r="G2" s="135"/>
      <c r="H2" s="135"/>
      <c r="I2" s="135"/>
      <c r="J2" s="92"/>
      <c r="K2" s="92"/>
      <c r="L2" s="71"/>
    </row>
    <row r="3" spans="1:12" ht="13.5" customHeight="1" x14ac:dyDescent="0.25">
      <c r="A3" s="93"/>
      <c r="B3" s="93"/>
      <c r="C3" s="93"/>
      <c r="D3" s="94"/>
      <c r="E3" s="120" t="str">
        <f>Bussiness_Description!B5</f>
        <v>Here</v>
      </c>
      <c r="F3" s="120"/>
      <c r="G3" s="120"/>
      <c r="H3" s="94"/>
      <c r="I3" s="94"/>
      <c r="J3" s="93"/>
      <c r="K3" s="93"/>
      <c r="L3" s="70"/>
    </row>
    <row r="4" spans="1:12" ht="15" customHeight="1" x14ac:dyDescent="0.3">
      <c r="A4" s="23"/>
      <c r="D4" s="26" t="s">
        <v>94</v>
      </c>
      <c r="E4" s="121" t="s">
        <v>144</v>
      </c>
      <c r="F4" s="121"/>
      <c r="G4" s="121"/>
      <c r="H4" s="26"/>
      <c r="K4" s="23"/>
      <c r="L4" s="24"/>
    </row>
    <row r="5" spans="1:12" ht="15" customHeight="1" x14ac:dyDescent="0.3">
      <c r="A5" s="31" t="s">
        <v>49</v>
      </c>
      <c r="B5" s="32"/>
      <c r="C5" s="32"/>
      <c r="D5" s="32"/>
      <c r="E5" s="25"/>
      <c r="F5" s="25"/>
      <c r="G5" s="25"/>
      <c r="I5" s="118" t="s">
        <v>146</v>
      </c>
      <c r="J5" s="118"/>
      <c r="K5" s="118"/>
      <c r="L5" s="118"/>
    </row>
    <row r="6" spans="1:12" ht="15" customHeight="1" x14ac:dyDescent="0.3">
      <c r="A6" s="39" t="s">
        <v>80</v>
      </c>
      <c r="B6" s="123" t="s">
        <v>40</v>
      </c>
      <c r="C6" s="123"/>
      <c r="D6" s="37"/>
      <c r="E6" s="134" t="s">
        <v>79</v>
      </c>
      <c r="F6" s="134"/>
      <c r="G6" s="41"/>
      <c r="I6" s="38"/>
      <c r="J6" s="143" t="s">
        <v>22</v>
      </c>
      <c r="K6" s="143"/>
      <c r="L6" s="143"/>
    </row>
    <row r="7" spans="1:12" ht="15" customHeight="1" x14ac:dyDescent="0.3">
      <c r="A7" s="39" t="s">
        <v>81</v>
      </c>
      <c r="B7" s="123" t="s">
        <v>99</v>
      </c>
      <c r="C7" s="123"/>
      <c r="D7" s="140" t="s">
        <v>82</v>
      </c>
      <c r="E7" s="140"/>
      <c r="F7" s="140"/>
      <c r="I7" s="136" t="s">
        <v>138</v>
      </c>
      <c r="J7" s="136"/>
      <c r="K7" s="136"/>
      <c r="L7" s="136"/>
    </row>
    <row r="8" spans="1:12" ht="17.25" customHeight="1" x14ac:dyDescent="0.3">
      <c r="A8" s="40" t="s">
        <v>143</v>
      </c>
      <c r="B8" s="123" t="s">
        <v>124</v>
      </c>
      <c r="C8" s="123"/>
      <c r="D8" s="89"/>
      <c r="E8" s="22"/>
      <c r="F8" s="139"/>
      <c r="G8" s="139"/>
      <c r="H8" s="139"/>
      <c r="I8" s="144">
        <v>0.88909722222222232</v>
      </c>
      <c r="J8" s="144"/>
      <c r="K8" s="144"/>
      <c r="L8" s="144"/>
    </row>
    <row r="9" spans="1:12" ht="3.75" customHeight="1" thickBot="1" x14ac:dyDescent="0.3">
      <c r="A9" s="145" t="s">
        <v>78</v>
      </c>
      <c r="B9" s="145"/>
      <c r="C9" s="145"/>
      <c r="D9" s="145"/>
      <c r="E9" s="145"/>
      <c r="F9" s="145"/>
      <c r="G9" s="145"/>
      <c r="H9" s="145"/>
      <c r="I9" s="145"/>
      <c r="J9" s="145"/>
      <c r="K9" s="145"/>
      <c r="L9" s="20"/>
    </row>
    <row r="10" spans="1:12" ht="15" customHeight="1" thickTop="1" thickBot="1" x14ac:dyDescent="0.3">
      <c r="A10" s="125" t="s">
        <v>53</v>
      </c>
      <c r="B10" s="126"/>
      <c r="C10" s="127" t="s">
        <v>64</v>
      </c>
      <c r="D10" s="128"/>
      <c r="E10" s="72" t="s">
        <v>54</v>
      </c>
      <c r="F10" s="129" t="s">
        <v>77</v>
      </c>
      <c r="G10" s="130"/>
      <c r="H10" s="90" t="s">
        <v>55</v>
      </c>
      <c r="I10" s="129" t="s">
        <v>56</v>
      </c>
      <c r="J10" s="137"/>
      <c r="K10" s="137"/>
      <c r="L10" s="130"/>
    </row>
    <row r="11" spans="1:12" ht="15" customHeight="1" thickTop="1" x14ac:dyDescent="0.25">
      <c r="A11" s="124" t="s">
        <v>134</v>
      </c>
      <c r="B11" s="124"/>
      <c r="C11" s="42" t="s">
        <v>139</v>
      </c>
      <c r="D11" s="42"/>
      <c r="E11" s="43">
        <v>1500</v>
      </c>
      <c r="F11" s="141">
        <v>1500</v>
      </c>
      <c r="G11" s="141"/>
      <c r="H11" s="43">
        <v>0</v>
      </c>
      <c r="I11" s="131">
        <v>1500</v>
      </c>
      <c r="J11" s="131"/>
      <c r="K11" s="131"/>
      <c r="L11" s="131"/>
    </row>
    <row r="12" spans="1:12" ht="15" customHeight="1" x14ac:dyDescent="0.25">
      <c r="A12" s="122"/>
      <c r="B12" s="122"/>
      <c r="C12" s="42" t="s">
        <v>145</v>
      </c>
      <c r="D12" s="42"/>
      <c r="E12" s="43" t="s">
        <v>145</v>
      </c>
      <c r="F12" s="142" t="s">
        <v>145</v>
      </c>
      <c r="G12" s="142"/>
      <c r="H12" s="42" t="s">
        <v>145</v>
      </c>
      <c r="I12" s="132" t="s">
        <v>141</v>
      </c>
      <c r="J12" s="132"/>
      <c r="K12" s="132"/>
      <c r="L12" s="132"/>
    </row>
    <row r="13" spans="1:12" x14ac:dyDescent="0.25">
      <c r="A13" s="122"/>
      <c r="B13" s="122"/>
      <c r="C13" s="42" t="s">
        <v>142</v>
      </c>
      <c r="D13" s="42"/>
      <c r="E13" s="43"/>
      <c r="F13" s="142"/>
      <c r="G13" s="138"/>
      <c r="H13" s="42" t="s">
        <v>114</v>
      </c>
      <c r="I13" s="132">
        <v>1500</v>
      </c>
      <c r="J13" s="133"/>
      <c r="K13" s="133"/>
      <c r="L13" s="133"/>
    </row>
    <row r="14" spans="1:12" x14ac:dyDescent="0.25">
      <c r="A14" s="122"/>
      <c r="B14" s="122"/>
      <c r="C14" s="42"/>
      <c r="D14" s="42"/>
      <c r="E14" s="43"/>
      <c r="F14" s="142"/>
      <c r="G14" s="138"/>
      <c r="H14" s="42" t="s">
        <v>33</v>
      </c>
      <c r="I14" s="132">
        <v>1500</v>
      </c>
      <c r="J14" s="133"/>
      <c r="K14" s="133"/>
      <c r="L14" s="133"/>
    </row>
    <row r="15" spans="1:12" x14ac:dyDescent="0.25">
      <c r="A15" s="122" t="s">
        <v>147</v>
      </c>
      <c r="B15" s="122"/>
      <c r="C15" s="42"/>
      <c r="D15" s="42"/>
      <c r="E15" s="43"/>
      <c r="F15" s="142"/>
      <c r="G15" s="138"/>
      <c r="H15" s="42"/>
      <c r="I15" s="132"/>
      <c r="J15" s="133"/>
      <c r="K15" s="133"/>
      <c r="L15" s="133"/>
    </row>
    <row r="16" spans="1:12" x14ac:dyDescent="0.25">
      <c r="A16" s="122"/>
      <c r="B16" s="122"/>
      <c r="C16" s="42"/>
      <c r="D16" s="42"/>
      <c r="E16" s="43"/>
      <c r="F16" s="142"/>
      <c r="G16" s="138"/>
      <c r="H16" s="42" t="s">
        <v>140</v>
      </c>
      <c r="I16" s="132" t="s">
        <v>140</v>
      </c>
      <c r="J16" s="133"/>
      <c r="K16" s="133"/>
      <c r="L16" s="133"/>
    </row>
    <row r="17" spans="1:12" x14ac:dyDescent="0.25">
      <c r="A17" s="122"/>
      <c r="B17" s="122"/>
      <c r="C17" s="42"/>
      <c r="D17" s="42"/>
      <c r="E17" s="43"/>
      <c r="F17" s="142"/>
      <c r="G17" s="138"/>
      <c r="H17" s="42"/>
      <c r="I17" s="132"/>
      <c r="J17" s="133"/>
      <c r="K17" s="133"/>
      <c r="L17" s="133"/>
    </row>
    <row r="18" spans="1:12" x14ac:dyDescent="0.25">
      <c r="A18" s="122"/>
      <c r="B18" s="122"/>
      <c r="C18" s="42"/>
      <c r="D18" s="42"/>
      <c r="E18" s="42"/>
      <c r="F18" s="138"/>
      <c r="G18" s="138"/>
      <c r="H18" s="42"/>
      <c r="I18" s="132"/>
      <c r="J18" s="133"/>
      <c r="K18" s="133"/>
      <c r="L18" s="133"/>
    </row>
    <row r="19" spans="1:12" x14ac:dyDescent="0.25">
      <c r="A19" s="122"/>
      <c r="B19" s="122"/>
      <c r="C19" s="42"/>
      <c r="D19" s="42"/>
      <c r="E19" s="42"/>
      <c r="F19" s="138"/>
      <c r="G19" s="138"/>
      <c r="H19" s="42"/>
      <c r="I19" s="132"/>
      <c r="J19" s="133"/>
      <c r="K19" s="133"/>
      <c r="L19" s="133"/>
    </row>
    <row r="20" spans="1:12" x14ac:dyDescent="0.25">
      <c r="A20" s="122"/>
      <c r="B20" s="122"/>
      <c r="C20" s="42"/>
      <c r="D20" s="42"/>
      <c r="E20" s="42"/>
      <c r="F20" s="138"/>
      <c r="G20" s="138"/>
      <c r="H20" s="42"/>
      <c r="I20" s="132"/>
      <c r="J20" s="133"/>
      <c r="K20" s="133"/>
      <c r="L20" s="133"/>
    </row>
    <row r="21" spans="1:12" x14ac:dyDescent="0.25">
      <c r="A21" s="122"/>
      <c r="B21" s="122"/>
      <c r="C21" s="42"/>
      <c r="D21" s="42"/>
      <c r="E21" s="42"/>
      <c r="F21" s="138"/>
      <c r="G21" s="138"/>
      <c r="H21" s="42"/>
      <c r="I21" s="133"/>
      <c r="J21" s="133"/>
      <c r="K21" s="133"/>
      <c r="L21" s="133"/>
    </row>
    <row r="22" spans="1:12" x14ac:dyDescent="0.25">
      <c r="A22" s="122"/>
      <c r="B22" s="122"/>
      <c r="C22" s="42"/>
      <c r="D22" s="42"/>
      <c r="E22" s="42"/>
      <c r="F22" s="138"/>
      <c r="G22" s="138"/>
      <c r="H22" s="42"/>
      <c r="I22" s="133"/>
      <c r="J22" s="133"/>
      <c r="K22" s="133"/>
      <c r="L22" s="133"/>
    </row>
    <row r="23" spans="1:12" x14ac:dyDescent="0.25">
      <c r="A23" s="122"/>
      <c r="B23" s="122"/>
      <c r="C23" s="42"/>
      <c r="D23" s="42"/>
      <c r="E23" s="42"/>
      <c r="F23" s="138"/>
      <c r="G23" s="138"/>
      <c r="H23" s="42"/>
      <c r="I23" s="133"/>
      <c r="J23" s="133"/>
      <c r="K23" s="133"/>
      <c r="L23" s="133"/>
    </row>
    <row r="24" spans="1:12" x14ac:dyDescent="0.25">
      <c r="A24" s="122"/>
      <c r="B24" s="122"/>
      <c r="C24" s="42"/>
      <c r="D24" s="42"/>
      <c r="E24" s="42"/>
      <c r="F24" s="138"/>
      <c r="G24" s="138"/>
      <c r="H24" s="42"/>
      <c r="I24" s="133"/>
      <c r="J24" s="133"/>
      <c r="K24" s="133"/>
      <c r="L24" s="133"/>
    </row>
    <row r="25" spans="1:12" x14ac:dyDescent="0.25">
      <c r="A25" s="122"/>
      <c r="B25" s="122"/>
      <c r="C25" s="42"/>
      <c r="D25" s="42"/>
      <c r="E25" s="42"/>
      <c r="F25" s="138"/>
      <c r="G25" s="138"/>
      <c r="H25" s="42"/>
      <c r="I25" s="133"/>
      <c r="J25" s="133"/>
      <c r="K25" s="133"/>
      <c r="L25" s="133"/>
    </row>
    <row r="26" spans="1:12" x14ac:dyDescent="0.25">
      <c r="A26" s="122"/>
      <c r="B26" s="122"/>
      <c r="C26" s="42"/>
      <c r="D26" s="42"/>
      <c r="E26" s="42"/>
      <c r="F26" s="138"/>
      <c r="G26" s="138"/>
      <c r="H26" s="42"/>
      <c r="I26" s="133"/>
      <c r="J26" s="133"/>
      <c r="K26" s="133"/>
      <c r="L26" s="133"/>
    </row>
    <row r="27" spans="1:12" x14ac:dyDescent="0.25">
      <c r="A27" s="122"/>
      <c r="B27" s="122"/>
      <c r="C27" s="42"/>
      <c r="D27" s="42"/>
      <c r="E27" s="42"/>
      <c r="F27" s="138"/>
      <c r="G27" s="138"/>
      <c r="H27" s="42"/>
      <c r="I27" s="133"/>
      <c r="J27" s="133"/>
      <c r="K27" s="133"/>
      <c r="L27" s="133"/>
    </row>
    <row r="28" spans="1:12" x14ac:dyDescent="0.25">
      <c r="A28" s="122"/>
      <c r="B28" s="122"/>
      <c r="C28" s="42"/>
      <c r="D28" s="42"/>
      <c r="E28" s="42"/>
      <c r="F28" s="138"/>
      <c r="G28" s="138"/>
      <c r="H28" s="42"/>
      <c r="I28" s="133"/>
      <c r="J28" s="133"/>
      <c r="K28" s="133"/>
      <c r="L28" s="133"/>
    </row>
    <row r="29" spans="1:12" x14ac:dyDescent="0.25">
      <c r="A29" s="122"/>
      <c r="B29" s="122"/>
      <c r="C29" s="42"/>
      <c r="D29" s="42"/>
      <c r="E29" s="42"/>
      <c r="F29" s="138"/>
      <c r="G29" s="138"/>
      <c r="H29" s="42"/>
      <c r="I29" s="133"/>
      <c r="J29" s="133"/>
      <c r="K29" s="133"/>
      <c r="L29" s="133"/>
    </row>
    <row r="30" spans="1:12" x14ac:dyDescent="0.25">
      <c r="A30" s="122"/>
      <c r="B30" s="122"/>
      <c r="C30" s="42"/>
      <c r="D30" s="42"/>
      <c r="E30" s="42"/>
      <c r="F30" s="138"/>
      <c r="G30" s="138"/>
      <c r="H30" s="42"/>
      <c r="I30" s="133"/>
      <c r="J30" s="133"/>
      <c r="K30" s="133"/>
      <c r="L30" s="133"/>
    </row>
    <row r="31" spans="1:12" x14ac:dyDescent="0.25">
      <c r="A31" s="122"/>
      <c r="B31" s="122"/>
      <c r="C31" s="42"/>
      <c r="D31" s="42"/>
      <c r="E31" s="42"/>
      <c r="F31" s="138"/>
      <c r="G31" s="138"/>
      <c r="H31" s="42"/>
      <c r="I31" s="133"/>
      <c r="J31" s="133"/>
      <c r="K31" s="133"/>
      <c r="L31" s="133"/>
    </row>
    <row r="32" spans="1:12" x14ac:dyDescent="0.25">
      <c r="A32" s="122"/>
      <c r="B32" s="122"/>
      <c r="C32" s="42"/>
      <c r="D32" s="42"/>
      <c r="E32" s="42"/>
      <c r="F32" s="138"/>
      <c r="G32" s="138"/>
      <c r="H32" s="42"/>
      <c r="I32" s="133"/>
      <c r="J32" s="133"/>
      <c r="K32" s="133"/>
      <c r="L32" s="133"/>
    </row>
    <row r="33" spans="1:12" x14ac:dyDescent="0.25">
      <c r="A33" s="122"/>
      <c r="B33" s="122"/>
      <c r="C33" s="42"/>
      <c r="D33" s="42"/>
      <c r="E33" s="42"/>
      <c r="F33" s="138"/>
      <c r="G33" s="138"/>
      <c r="H33" s="42"/>
      <c r="I33" s="133"/>
      <c r="J33" s="133"/>
      <c r="K33" s="133"/>
      <c r="L33" s="133"/>
    </row>
    <row r="34" spans="1:12" x14ac:dyDescent="0.25">
      <c r="A34" s="122"/>
      <c r="B34" s="122"/>
      <c r="C34" s="42"/>
      <c r="D34" s="42"/>
      <c r="E34" s="42"/>
      <c r="F34" s="138"/>
      <c r="G34" s="138"/>
      <c r="H34" s="42"/>
      <c r="I34" s="133"/>
      <c r="J34" s="133"/>
      <c r="K34" s="133"/>
      <c r="L34" s="133"/>
    </row>
    <row r="35" spans="1:12" x14ac:dyDescent="0.25">
      <c r="A35" s="122"/>
      <c r="B35" s="122"/>
      <c r="C35" s="42"/>
      <c r="D35" s="42"/>
      <c r="E35" s="42"/>
      <c r="F35" s="138"/>
      <c r="G35" s="138"/>
      <c r="H35" s="42"/>
      <c r="I35" s="133"/>
      <c r="J35" s="133"/>
      <c r="K35" s="133"/>
      <c r="L35" s="133"/>
    </row>
    <row r="36" spans="1:12" x14ac:dyDescent="0.25">
      <c r="A36" s="122"/>
      <c r="B36" s="122"/>
      <c r="C36" s="42"/>
      <c r="D36" s="42"/>
      <c r="E36" s="42"/>
      <c r="F36" s="138"/>
      <c r="G36" s="138"/>
      <c r="H36" s="42"/>
      <c r="I36" s="133"/>
      <c r="J36" s="133"/>
      <c r="K36" s="133"/>
      <c r="L36" s="133"/>
    </row>
    <row r="37" spans="1:12" x14ac:dyDescent="0.25">
      <c r="A37" s="122"/>
      <c r="B37" s="122"/>
      <c r="C37" s="42"/>
      <c r="D37" s="42"/>
      <c r="E37" s="42"/>
      <c r="F37" s="138"/>
      <c r="G37" s="138"/>
      <c r="H37" s="42"/>
      <c r="I37" s="133"/>
      <c r="J37" s="133"/>
      <c r="K37" s="133"/>
      <c r="L37" s="133"/>
    </row>
    <row r="38" spans="1:12" x14ac:dyDescent="0.25">
      <c r="A38" s="122"/>
      <c r="B38" s="122"/>
      <c r="C38" s="42"/>
      <c r="D38" s="42"/>
      <c r="E38" s="42"/>
      <c r="F38" s="138"/>
      <c r="G38" s="138"/>
      <c r="H38" s="42"/>
      <c r="I38" s="133"/>
      <c r="J38" s="133"/>
      <c r="K38" s="133"/>
      <c r="L38" s="133"/>
    </row>
    <row r="39" spans="1:12" x14ac:dyDescent="0.25">
      <c r="A39" s="122"/>
      <c r="B39" s="122"/>
      <c r="C39" s="42"/>
      <c r="D39" s="42"/>
      <c r="E39" s="42"/>
      <c r="F39" s="138"/>
      <c r="G39" s="138"/>
      <c r="H39" s="42"/>
      <c r="I39" s="133"/>
      <c r="J39" s="133"/>
      <c r="K39" s="133"/>
      <c r="L39" s="133"/>
    </row>
    <row r="40" spans="1:12" x14ac:dyDescent="0.25">
      <c r="A40" s="122"/>
      <c r="B40" s="122"/>
      <c r="C40" s="42"/>
      <c r="D40" s="42"/>
      <c r="E40" s="42"/>
      <c r="F40" s="138"/>
      <c r="G40" s="138"/>
      <c r="H40" s="42"/>
      <c r="I40" s="133"/>
      <c r="J40" s="133"/>
      <c r="K40" s="133"/>
      <c r="L40" s="133"/>
    </row>
    <row r="41" spans="1:12" x14ac:dyDescent="0.25">
      <c r="A41" s="122"/>
      <c r="B41" s="122"/>
      <c r="C41" s="42"/>
      <c r="D41" s="42"/>
      <c r="E41" s="42"/>
      <c r="F41" s="138"/>
      <c r="G41" s="138"/>
      <c r="H41" s="42"/>
      <c r="I41" s="133"/>
      <c r="J41" s="133"/>
      <c r="K41" s="133"/>
      <c r="L41" s="133"/>
    </row>
    <row r="42" spans="1:12" x14ac:dyDescent="0.25">
      <c r="A42" s="122"/>
      <c r="B42" s="122"/>
      <c r="C42" s="42"/>
      <c r="D42" s="42"/>
      <c r="E42" s="42"/>
      <c r="F42" s="138"/>
      <c r="G42" s="138"/>
      <c r="H42" s="42"/>
      <c r="I42" s="133"/>
      <c r="J42" s="133"/>
      <c r="K42" s="133"/>
      <c r="L42" s="133"/>
    </row>
    <row r="43" spans="1:12" x14ac:dyDescent="0.25">
      <c r="A43" s="122"/>
      <c r="B43" s="122"/>
      <c r="C43" s="42"/>
      <c r="D43" s="42"/>
      <c r="E43" s="42"/>
      <c r="F43" s="138"/>
      <c r="G43" s="138"/>
      <c r="H43" s="42"/>
      <c r="I43" s="133"/>
      <c r="J43" s="133"/>
      <c r="K43" s="133"/>
      <c r="L43" s="133"/>
    </row>
    <row r="44" spans="1:12" x14ac:dyDescent="0.25">
      <c r="A44" s="122"/>
      <c r="B44" s="122"/>
      <c r="C44" s="42"/>
      <c r="D44" s="42"/>
      <c r="E44" s="42"/>
      <c r="F44" s="138"/>
      <c r="G44" s="138"/>
      <c r="H44" s="42"/>
      <c r="I44" s="133"/>
      <c r="J44" s="133"/>
      <c r="K44" s="133"/>
      <c r="L44" s="133"/>
    </row>
    <row r="45" spans="1:12" x14ac:dyDescent="0.25">
      <c r="A45" s="122"/>
      <c r="B45" s="122"/>
      <c r="C45" s="42"/>
      <c r="D45" s="42"/>
      <c r="E45" s="42"/>
      <c r="F45" s="138"/>
      <c r="G45" s="138"/>
      <c r="H45" s="42"/>
      <c r="I45" s="133"/>
      <c r="J45" s="133"/>
      <c r="K45" s="133"/>
      <c r="L45" s="133"/>
    </row>
    <row r="46" spans="1:12" x14ac:dyDescent="0.25">
      <c r="A46" s="122"/>
      <c r="B46" s="122"/>
      <c r="C46" s="42"/>
      <c r="D46" s="42"/>
      <c r="E46" s="42"/>
      <c r="F46" s="138"/>
      <c r="G46" s="138"/>
      <c r="H46" s="42"/>
      <c r="I46" s="133"/>
      <c r="J46" s="133"/>
      <c r="K46" s="133"/>
      <c r="L46" s="44"/>
    </row>
  </sheetData>
  <mergeCells count="127">
    <mergeCell ref="J6:L6"/>
    <mergeCell ref="I8:L8"/>
    <mergeCell ref="A46:B46"/>
    <mergeCell ref="F46:G46"/>
    <mergeCell ref="I46:K46"/>
    <mergeCell ref="A9:K9"/>
    <mergeCell ref="I39:L39"/>
    <mergeCell ref="I40:L40"/>
    <mergeCell ref="I41:L41"/>
    <mergeCell ref="I42:L42"/>
    <mergeCell ref="I43:L43"/>
    <mergeCell ref="I44:L44"/>
    <mergeCell ref="I27:L27"/>
    <mergeCell ref="I28:L28"/>
    <mergeCell ref="I29:L29"/>
    <mergeCell ref="I30:L30"/>
    <mergeCell ref="I31:L31"/>
    <mergeCell ref="I32:L32"/>
    <mergeCell ref="I16:L16"/>
    <mergeCell ref="I17:L17"/>
    <mergeCell ref="I18:L18"/>
    <mergeCell ref="I19:L19"/>
    <mergeCell ref="I45:L45"/>
    <mergeCell ref="I35:L35"/>
    <mergeCell ref="I36:L36"/>
    <mergeCell ref="I37:L37"/>
    <mergeCell ref="I38:L38"/>
    <mergeCell ref="I33:L33"/>
    <mergeCell ref="I34:L34"/>
    <mergeCell ref="I23:L23"/>
    <mergeCell ref="I24:L24"/>
    <mergeCell ref="I25:L25"/>
    <mergeCell ref="I26:L26"/>
    <mergeCell ref="I22:L22"/>
    <mergeCell ref="I20:L20"/>
    <mergeCell ref="I21:L21"/>
    <mergeCell ref="F42:G42"/>
    <mergeCell ref="F43:G43"/>
    <mergeCell ref="F44:G44"/>
    <mergeCell ref="F45:G45"/>
    <mergeCell ref="F36:G36"/>
    <mergeCell ref="F37:G37"/>
    <mergeCell ref="F38:G38"/>
    <mergeCell ref="F39:G39"/>
    <mergeCell ref="F40:G40"/>
    <mergeCell ref="F41:G41"/>
    <mergeCell ref="F31:G31"/>
    <mergeCell ref="F32:G32"/>
    <mergeCell ref="F33:G33"/>
    <mergeCell ref="F34:G34"/>
    <mergeCell ref="F35:G35"/>
    <mergeCell ref="F24:G24"/>
    <mergeCell ref="F25:G25"/>
    <mergeCell ref="F26:G26"/>
    <mergeCell ref="F27:G27"/>
    <mergeCell ref="F28:G28"/>
    <mergeCell ref="F29:G29"/>
    <mergeCell ref="A43:B43"/>
    <mergeCell ref="A44:B44"/>
    <mergeCell ref="A45:B45"/>
    <mergeCell ref="F11:G11"/>
    <mergeCell ref="F12:G12"/>
    <mergeCell ref="F13:G13"/>
    <mergeCell ref="F14:G14"/>
    <mergeCell ref="F15:G15"/>
    <mergeCell ref="F16:G16"/>
    <mergeCell ref="F17:G17"/>
    <mergeCell ref="A37:B37"/>
    <mergeCell ref="A38:B38"/>
    <mergeCell ref="A39:B39"/>
    <mergeCell ref="A40:B40"/>
    <mergeCell ref="A41:B41"/>
    <mergeCell ref="A42:B42"/>
    <mergeCell ref="A31:B31"/>
    <mergeCell ref="A32:B32"/>
    <mergeCell ref="A33:B33"/>
    <mergeCell ref="A34:B34"/>
    <mergeCell ref="A35:B35"/>
    <mergeCell ref="A36:B36"/>
    <mergeCell ref="A25:B25"/>
    <mergeCell ref="F30:G30"/>
    <mergeCell ref="A28:B28"/>
    <mergeCell ref="A26:B26"/>
    <mergeCell ref="A27:B27"/>
    <mergeCell ref="F23:G23"/>
    <mergeCell ref="B7:C7"/>
    <mergeCell ref="B8:C8"/>
    <mergeCell ref="A29:B29"/>
    <mergeCell ref="A30:B30"/>
    <mergeCell ref="A19:B19"/>
    <mergeCell ref="A20:B20"/>
    <mergeCell ref="A21:B21"/>
    <mergeCell ref="A22:B22"/>
    <mergeCell ref="A23:B23"/>
    <mergeCell ref="A24:B24"/>
    <mergeCell ref="A18:B18"/>
    <mergeCell ref="F8:H8"/>
    <mergeCell ref="F18:G18"/>
    <mergeCell ref="F19:G19"/>
    <mergeCell ref="F22:G22"/>
    <mergeCell ref="F20:G20"/>
    <mergeCell ref="F21:G21"/>
    <mergeCell ref="D7:F7"/>
    <mergeCell ref="I5:L5"/>
    <mergeCell ref="A1:L1"/>
    <mergeCell ref="E3:G3"/>
    <mergeCell ref="E4:G4"/>
    <mergeCell ref="A13:B13"/>
    <mergeCell ref="A14:B14"/>
    <mergeCell ref="A15:B15"/>
    <mergeCell ref="A16:B16"/>
    <mergeCell ref="A17:B17"/>
    <mergeCell ref="B6:C6"/>
    <mergeCell ref="A11:B11"/>
    <mergeCell ref="A12:B12"/>
    <mergeCell ref="A10:B10"/>
    <mergeCell ref="C10:D10"/>
    <mergeCell ref="F10:G10"/>
    <mergeCell ref="I11:L11"/>
    <mergeCell ref="I12:L12"/>
    <mergeCell ref="I13:L13"/>
    <mergeCell ref="I14:L14"/>
    <mergeCell ref="I15:L15"/>
    <mergeCell ref="E6:F6"/>
    <mergeCell ref="B2:I2"/>
    <mergeCell ref="I7:L7"/>
    <mergeCell ref="I10:L10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/>
  <dimension ref="A1"/>
  <sheetViews>
    <sheetView showGridLines="0" workbookViewId="0">
      <selection activeCell="D29" sqref="D29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FEE8B-F8A8-4BEF-9D01-D1666B60F995}">
  <sheetPr codeName="Sheet13"/>
  <dimension ref="A1:I25"/>
  <sheetViews>
    <sheetView showGridLines="0" workbookViewId="0">
      <selection activeCell="F13" sqref="F13:H13"/>
    </sheetView>
  </sheetViews>
  <sheetFormatPr defaultRowHeight="15" x14ac:dyDescent="0.25"/>
  <cols>
    <col min="2" max="2" width="6.42578125" customWidth="1"/>
    <col min="3" max="3" width="6.7109375" customWidth="1"/>
    <col min="6" max="6" width="16.42578125" customWidth="1"/>
    <col min="7" max="7" width="6.7109375" customWidth="1"/>
    <col min="9" max="9" width="12.42578125" customWidth="1"/>
  </cols>
  <sheetData>
    <row r="1" spans="1:9" ht="23.25" customHeight="1" x14ac:dyDescent="0.25">
      <c r="A1" s="110"/>
      <c r="B1" s="110"/>
      <c r="C1" s="110"/>
      <c r="D1" s="147" t="s">
        <v>148</v>
      </c>
      <c r="E1" s="147"/>
      <c r="F1" s="147"/>
      <c r="G1" s="110"/>
      <c r="H1" s="110"/>
      <c r="I1" s="110"/>
    </row>
    <row r="2" spans="1:9" ht="18" customHeight="1" thickBot="1" x14ac:dyDescent="0.3">
      <c r="A2" s="111"/>
      <c r="B2" s="111"/>
      <c r="C2" s="148" t="s">
        <v>162</v>
      </c>
      <c r="D2" s="148"/>
      <c r="E2" s="148"/>
      <c r="F2" s="148"/>
      <c r="G2" s="148"/>
      <c r="H2" s="111"/>
      <c r="I2" s="111"/>
    </row>
    <row r="4" spans="1:9" x14ac:dyDescent="0.25">
      <c r="B4" s="150"/>
      <c r="C4" s="150"/>
      <c r="D4" s="150"/>
    </row>
    <row r="5" spans="1:9" ht="17.25" customHeight="1" x14ac:dyDescent="0.25">
      <c r="B5" s="151" t="s">
        <v>132</v>
      </c>
      <c r="C5" s="151"/>
      <c r="D5" s="151"/>
      <c r="E5" s="112"/>
      <c r="F5" s="153">
        <v>0</v>
      </c>
      <c r="G5" s="153"/>
      <c r="H5" s="153"/>
    </row>
    <row r="6" spans="1:9" ht="18" customHeight="1" x14ac:dyDescent="0.25">
      <c r="B6" s="149" t="s">
        <v>133</v>
      </c>
      <c r="C6" s="149"/>
      <c r="D6" s="149"/>
      <c r="E6" s="114"/>
      <c r="F6" s="154">
        <v>0</v>
      </c>
      <c r="G6" s="154"/>
      <c r="H6" s="154"/>
    </row>
    <row r="7" spans="1:9" ht="19.5" customHeight="1" x14ac:dyDescent="0.25">
      <c r="B7" s="151" t="s">
        <v>149</v>
      </c>
      <c r="C7" s="151"/>
      <c r="D7" s="151"/>
      <c r="E7" s="112"/>
      <c r="F7" s="153">
        <v>0</v>
      </c>
      <c r="G7" s="153"/>
      <c r="H7" s="153"/>
    </row>
    <row r="8" spans="1:9" ht="16.5" x14ac:dyDescent="0.25">
      <c r="B8" s="149" t="s">
        <v>150</v>
      </c>
      <c r="C8" s="149"/>
      <c r="D8" s="149"/>
      <c r="E8" s="114"/>
      <c r="F8" s="154">
        <v>0</v>
      </c>
      <c r="G8" s="154"/>
      <c r="H8" s="154"/>
    </row>
    <row r="9" spans="1:9" ht="19.5" customHeight="1" x14ac:dyDescent="0.25">
      <c r="B9" s="151" t="s">
        <v>151</v>
      </c>
      <c r="C9" s="151"/>
      <c r="D9" s="151"/>
      <c r="E9" s="112"/>
      <c r="F9" s="153">
        <v>0</v>
      </c>
      <c r="G9" s="153"/>
      <c r="H9" s="153"/>
    </row>
    <row r="10" spans="1:9" ht="18.75" customHeight="1" x14ac:dyDescent="0.25">
      <c r="B10" s="149" t="s">
        <v>92</v>
      </c>
      <c r="C10" s="149"/>
      <c r="D10" s="149"/>
      <c r="E10" s="114"/>
      <c r="F10" s="155">
        <v>22500</v>
      </c>
      <c r="G10" s="154"/>
      <c r="H10" s="154"/>
    </row>
    <row r="11" spans="1:9" ht="17.25" customHeight="1" x14ac:dyDescent="0.25">
      <c r="B11" s="152" t="s">
        <v>152</v>
      </c>
      <c r="C11" s="152"/>
      <c r="D11" s="152"/>
      <c r="E11" s="115"/>
      <c r="F11" s="156">
        <v>0</v>
      </c>
      <c r="G11" s="156"/>
      <c r="H11" s="156"/>
    </row>
    <row r="12" spans="1:9" x14ac:dyDescent="0.25">
      <c r="B12" s="146"/>
      <c r="C12" s="146"/>
      <c r="D12" s="146"/>
      <c r="E12" s="114"/>
      <c r="F12" s="154"/>
      <c r="G12" s="154"/>
      <c r="H12" s="154"/>
    </row>
    <row r="13" spans="1:9" ht="16.5" x14ac:dyDescent="0.3">
      <c r="B13" s="158" t="s">
        <v>153</v>
      </c>
      <c r="C13" s="158"/>
      <c r="D13" s="158"/>
      <c r="E13" s="116"/>
      <c r="F13" s="157">
        <v>22500</v>
      </c>
      <c r="G13" s="157"/>
      <c r="H13" s="157"/>
    </row>
    <row r="14" spans="1:9" x14ac:dyDescent="0.25">
      <c r="B14" s="150"/>
      <c r="C14" s="150"/>
      <c r="D14" s="150"/>
      <c r="F14" s="150"/>
      <c r="G14" s="150"/>
      <c r="H14" s="150"/>
    </row>
    <row r="15" spans="1:9" x14ac:dyDescent="0.25">
      <c r="B15" s="150"/>
      <c r="C15" s="150"/>
      <c r="D15" s="150"/>
      <c r="F15" s="150"/>
      <c r="G15" s="150"/>
      <c r="H15" s="150"/>
    </row>
    <row r="16" spans="1:9" x14ac:dyDescent="0.25">
      <c r="B16" s="150"/>
      <c r="C16" s="150"/>
      <c r="D16" s="150"/>
      <c r="F16" s="150"/>
      <c r="G16" s="150"/>
      <c r="H16" s="150"/>
    </row>
    <row r="17" spans="2:8" x14ac:dyDescent="0.25">
      <c r="B17" s="150"/>
      <c r="C17" s="150"/>
      <c r="D17" s="150"/>
      <c r="F17" s="150"/>
      <c r="G17" s="150"/>
      <c r="H17" s="150"/>
    </row>
    <row r="18" spans="2:8" x14ac:dyDescent="0.25">
      <c r="B18" s="150"/>
      <c r="C18" s="150"/>
      <c r="D18" s="150"/>
      <c r="F18" s="150"/>
      <c r="G18" s="150"/>
      <c r="H18" s="150"/>
    </row>
    <row r="19" spans="2:8" x14ac:dyDescent="0.25">
      <c r="B19" s="150"/>
      <c r="C19" s="150"/>
      <c r="D19" s="150"/>
      <c r="F19" s="150"/>
      <c r="G19" s="150"/>
      <c r="H19" s="150"/>
    </row>
    <row r="20" spans="2:8" x14ac:dyDescent="0.25">
      <c r="F20" s="150"/>
      <c r="G20" s="150"/>
      <c r="H20" s="150"/>
    </row>
    <row r="21" spans="2:8" x14ac:dyDescent="0.25">
      <c r="F21" s="150"/>
      <c r="G21" s="150"/>
      <c r="H21" s="150"/>
    </row>
    <row r="22" spans="2:8" x14ac:dyDescent="0.25">
      <c r="F22" s="150"/>
      <c r="G22" s="150"/>
      <c r="H22" s="150"/>
    </row>
    <row r="23" spans="2:8" x14ac:dyDescent="0.25">
      <c r="F23" s="150"/>
      <c r="G23" s="150"/>
      <c r="H23" s="150"/>
    </row>
    <row r="24" spans="2:8" x14ac:dyDescent="0.25">
      <c r="F24" s="150"/>
      <c r="G24" s="150"/>
      <c r="H24" s="150"/>
    </row>
    <row r="25" spans="2:8" x14ac:dyDescent="0.25">
      <c r="F25" s="150"/>
      <c r="G25" s="150"/>
      <c r="H25" s="150"/>
    </row>
  </sheetData>
  <mergeCells count="39">
    <mergeCell ref="F25:H25"/>
    <mergeCell ref="F14:H14"/>
    <mergeCell ref="F15:H15"/>
    <mergeCell ref="F16:H16"/>
    <mergeCell ref="F17:H17"/>
    <mergeCell ref="F18:H18"/>
    <mergeCell ref="F19:H19"/>
    <mergeCell ref="F20:H20"/>
    <mergeCell ref="F21:H21"/>
    <mergeCell ref="F22:H22"/>
    <mergeCell ref="F23:H23"/>
    <mergeCell ref="F24:H24"/>
    <mergeCell ref="B19:D19"/>
    <mergeCell ref="F5:H5"/>
    <mergeCell ref="F6:H6"/>
    <mergeCell ref="F7:H7"/>
    <mergeCell ref="F8:H8"/>
    <mergeCell ref="F9:H9"/>
    <mergeCell ref="F10:H10"/>
    <mergeCell ref="F11:H11"/>
    <mergeCell ref="F12:H12"/>
    <mergeCell ref="F13:H13"/>
    <mergeCell ref="B13:D13"/>
    <mergeCell ref="B14:D14"/>
    <mergeCell ref="B15:D15"/>
    <mergeCell ref="B16:D16"/>
    <mergeCell ref="B17:D17"/>
    <mergeCell ref="B18:D18"/>
    <mergeCell ref="B12:D12"/>
    <mergeCell ref="D1:F1"/>
    <mergeCell ref="C2:G2"/>
    <mergeCell ref="B6:D6"/>
    <mergeCell ref="B4:D4"/>
    <mergeCell ref="B5:D5"/>
    <mergeCell ref="B7:D7"/>
    <mergeCell ref="B8:D8"/>
    <mergeCell ref="B9:D9"/>
    <mergeCell ref="B10:D10"/>
    <mergeCell ref="B11:D11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6107-DE04-42AC-BF37-5D02B53FC60B}">
  <sheetPr codeName="Sheet21"/>
  <dimension ref="A1:I17"/>
  <sheetViews>
    <sheetView showGridLines="0" workbookViewId="0">
      <selection activeCell="F18" sqref="F18"/>
    </sheetView>
  </sheetViews>
  <sheetFormatPr defaultRowHeight="15" x14ac:dyDescent="0.25"/>
  <cols>
    <col min="6" max="6" width="10.5703125" customWidth="1"/>
  </cols>
  <sheetData>
    <row r="1" spans="1:9" ht="23.25" customHeight="1" x14ac:dyDescent="0.25">
      <c r="A1" s="110"/>
      <c r="B1" s="110"/>
      <c r="C1" s="110"/>
      <c r="D1" s="147" t="s">
        <v>154</v>
      </c>
      <c r="E1" s="147"/>
      <c r="F1" s="147"/>
      <c r="G1" s="110"/>
      <c r="H1" s="110"/>
      <c r="I1" s="110"/>
    </row>
    <row r="2" spans="1:9" ht="17.25" customHeight="1" thickBot="1" x14ac:dyDescent="0.3">
      <c r="A2" s="111"/>
      <c r="B2" s="111"/>
      <c r="C2" s="148" t="s">
        <v>162</v>
      </c>
      <c r="D2" s="148"/>
      <c r="E2" s="148"/>
      <c r="F2" s="148"/>
      <c r="G2" s="148"/>
      <c r="H2" s="111"/>
      <c r="I2" s="111"/>
    </row>
    <row r="4" spans="1:9" x14ac:dyDescent="0.25">
      <c r="B4" s="150"/>
      <c r="C4" s="150"/>
      <c r="D4" s="150"/>
    </row>
    <row r="5" spans="1:9" ht="20.25" customHeight="1" x14ac:dyDescent="0.25">
      <c r="B5" s="151" t="s">
        <v>155</v>
      </c>
      <c r="C5" s="151"/>
      <c r="D5" s="151"/>
      <c r="E5" s="112"/>
      <c r="F5" s="153">
        <v>0</v>
      </c>
      <c r="G5" s="153"/>
      <c r="H5" s="153"/>
    </row>
    <row r="6" spans="1:9" ht="21" customHeight="1" x14ac:dyDescent="0.25">
      <c r="B6" s="149" t="s">
        <v>156</v>
      </c>
      <c r="C6" s="149"/>
      <c r="D6" s="149"/>
      <c r="E6" s="114"/>
      <c r="F6" s="154">
        <v>0</v>
      </c>
      <c r="G6" s="154"/>
      <c r="H6" s="154"/>
    </row>
    <row r="7" spans="1:9" ht="21" customHeight="1" x14ac:dyDescent="0.25">
      <c r="B7" s="151" t="s">
        <v>157</v>
      </c>
      <c r="C7" s="151"/>
      <c r="D7" s="151"/>
      <c r="E7" s="112"/>
      <c r="F7" s="153">
        <v>0</v>
      </c>
      <c r="G7" s="153"/>
      <c r="H7" s="153"/>
    </row>
    <row r="8" spans="1:9" ht="21" customHeight="1" x14ac:dyDescent="0.25">
      <c r="B8" s="149" t="s">
        <v>158</v>
      </c>
      <c r="C8" s="149"/>
      <c r="D8" s="149"/>
      <c r="E8" s="114"/>
      <c r="F8" s="154">
        <v>0</v>
      </c>
      <c r="G8" s="154"/>
      <c r="H8" s="154"/>
    </row>
    <row r="9" spans="1:9" ht="20.25" customHeight="1" x14ac:dyDescent="0.25">
      <c r="B9" s="151" t="s">
        <v>159</v>
      </c>
      <c r="C9" s="151"/>
      <c r="D9" s="151"/>
      <c r="E9" s="112"/>
      <c r="F9" s="153">
        <v>0</v>
      </c>
      <c r="G9" s="153"/>
      <c r="H9" s="153"/>
    </row>
    <row r="10" spans="1:9" ht="21" customHeight="1" x14ac:dyDescent="0.25">
      <c r="B10" s="149" t="s">
        <v>160</v>
      </c>
      <c r="C10" s="149"/>
      <c r="D10" s="149"/>
      <c r="E10" s="114"/>
      <c r="F10" s="155">
        <v>0</v>
      </c>
      <c r="G10" s="154"/>
      <c r="H10" s="154"/>
    </row>
    <row r="11" spans="1:9" ht="13.5" customHeight="1" x14ac:dyDescent="0.25">
      <c r="B11" s="152"/>
      <c r="C11" s="152"/>
      <c r="D11" s="152"/>
      <c r="E11" s="115"/>
      <c r="F11" s="156"/>
      <c r="G11" s="156"/>
      <c r="H11" s="156"/>
    </row>
    <row r="12" spans="1:9" x14ac:dyDescent="0.25">
      <c r="B12" s="158" t="s">
        <v>161</v>
      </c>
      <c r="C12" s="158"/>
      <c r="D12" s="158"/>
      <c r="E12" s="113"/>
      <c r="F12" s="157">
        <v>0</v>
      </c>
      <c r="G12" s="157"/>
      <c r="H12" s="157"/>
    </row>
    <row r="13" spans="1:9" ht="16.5" x14ac:dyDescent="0.3">
      <c r="A13" s="114"/>
      <c r="B13" s="159"/>
      <c r="C13" s="159"/>
      <c r="D13" s="159"/>
      <c r="E13" s="117"/>
      <c r="F13" s="160"/>
      <c r="G13" s="160"/>
      <c r="H13" s="160"/>
    </row>
    <row r="14" spans="1:9" x14ac:dyDescent="0.25">
      <c r="B14" s="150"/>
      <c r="C14" s="150"/>
      <c r="D14" s="150"/>
      <c r="F14" s="150"/>
      <c r="G14" s="150"/>
      <c r="H14" s="150"/>
    </row>
    <row r="15" spans="1:9" x14ac:dyDescent="0.25">
      <c r="B15" s="150"/>
      <c r="C15" s="150"/>
      <c r="D15" s="150"/>
      <c r="F15" s="150"/>
      <c r="G15" s="150"/>
      <c r="H15" s="150"/>
    </row>
    <row r="16" spans="1:9" x14ac:dyDescent="0.25">
      <c r="B16" s="150"/>
      <c r="C16" s="150"/>
      <c r="D16" s="150"/>
      <c r="F16" s="150"/>
      <c r="G16" s="150"/>
      <c r="H16" s="150"/>
    </row>
    <row r="17" spans="2:8" x14ac:dyDescent="0.25">
      <c r="B17" s="150"/>
      <c r="C17" s="150"/>
      <c r="D17" s="150"/>
      <c r="F17" s="150"/>
      <c r="G17" s="150"/>
      <c r="H17" s="150"/>
    </row>
  </sheetData>
  <mergeCells count="29">
    <mergeCell ref="B16:D16"/>
    <mergeCell ref="F16:H16"/>
    <mergeCell ref="B17:D17"/>
    <mergeCell ref="F17:H17"/>
    <mergeCell ref="B13:D13"/>
    <mergeCell ref="F13:H13"/>
    <mergeCell ref="B14:D14"/>
    <mergeCell ref="F14:H14"/>
    <mergeCell ref="B15:D15"/>
    <mergeCell ref="F15:H15"/>
    <mergeCell ref="B10:D10"/>
    <mergeCell ref="F10:H10"/>
    <mergeCell ref="B11:D11"/>
    <mergeCell ref="F11:H11"/>
    <mergeCell ref="B12:D12"/>
    <mergeCell ref="F12:H12"/>
    <mergeCell ref="B7:D7"/>
    <mergeCell ref="F7:H7"/>
    <mergeCell ref="B8:D8"/>
    <mergeCell ref="F8:H8"/>
    <mergeCell ref="B9:D9"/>
    <mergeCell ref="F9:H9"/>
    <mergeCell ref="B6:D6"/>
    <mergeCell ref="F6:H6"/>
    <mergeCell ref="D1:F1"/>
    <mergeCell ref="C2:G2"/>
    <mergeCell ref="B4:D4"/>
    <mergeCell ref="B5:D5"/>
    <mergeCell ref="F5:H5"/>
  </mergeCell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4"/>
  <dimension ref="A1:J2"/>
  <sheetViews>
    <sheetView showGridLines="0" tabSelected="1" workbookViewId="0">
      <selection activeCell="I1" sqref="I1"/>
    </sheetView>
  </sheetViews>
  <sheetFormatPr defaultRowHeight="15" x14ac:dyDescent="0.25"/>
  <cols>
    <col min="1" max="4" width="13" style="27" customWidth="1"/>
    <col min="5" max="5" width="30.140625" style="27" customWidth="1"/>
    <col min="6" max="6" width="13" style="27" customWidth="1"/>
    <col min="7" max="7" width="13.7109375" style="27" customWidth="1"/>
    <col min="8" max="8" width="16.140625" customWidth="1"/>
    <col min="9" max="9" width="15.85546875" customWidth="1"/>
  </cols>
  <sheetData>
    <row r="1" spans="1:10" ht="24.75" customHeight="1" x14ac:dyDescent="0.25">
      <c r="A1" s="28" t="s">
        <v>70</v>
      </c>
      <c r="B1" s="29" t="s">
        <v>57</v>
      </c>
      <c r="C1" s="29" t="s">
        <v>58</v>
      </c>
      <c r="D1" s="29" t="s">
        <v>59</v>
      </c>
      <c r="E1" s="29" t="s">
        <v>60</v>
      </c>
      <c r="F1" s="29" t="s">
        <v>61</v>
      </c>
      <c r="G1" s="29" t="s">
        <v>95</v>
      </c>
      <c r="H1" s="87" t="s">
        <v>69</v>
      </c>
      <c r="I1" s="55"/>
      <c r="J1" s="54" t="s">
        <v>123</v>
      </c>
    </row>
    <row r="2" spans="1:10" x14ac:dyDescent="0.25">
      <c r="A2" s="27" t="s">
        <v>163</v>
      </c>
      <c r="B2" s="27" t="s">
        <v>163</v>
      </c>
      <c r="C2" s="27" t="s">
        <v>123</v>
      </c>
      <c r="D2" s="27">
        <v>1710</v>
      </c>
      <c r="E2" s="27" t="s">
        <v>164</v>
      </c>
      <c r="F2" s="27" t="s">
        <v>165</v>
      </c>
      <c r="G2" s="27">
        <v>708098023</v>
      </c>
    </row>
  </sheetData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7"/>
  <dimension ref="A1:L6"/>
  <sheetViews>
    <sheetView showGridLines="0" workbookViewId="0">
      <selection activeCell="A2" sqref="A2:J2"/>
    </sheetView>
  </sheetViews>
  <sheetFormatPr defaultRowHeight="15" x14ac:dyDescent="0.25"/>
  <cols>
    <col min="1" max="9" width="11.42578125" style="100" customWidth="1"/>
    <col min="10" max="10" width="21.85546875" style="109" customWidth="1"/>
    <col min="11" max="12" width="11.42578125" style="20" customWidth="1"/>
  </cols>
  <sheetData>
    <row r="1" spans="1:12" x14ac:dyDescent="0.25">
      <c r="A1" s="99" t="s">
        <v>7</v>
      </c>
      <c r="B1" s="99" t="s">
        <v>8</v>
      </c>
      <c r="C1" s="99" t="s">
        <v>66</v>
      </c>
      <c r="D1" s="99" t="s">
        <v>9</v>
      </c>
      <c r="E1" s="99" t="s">
        <v>10</v>
      </c>
      <c r="F1" s="99" t="s">
        <v>11</v>
      </c>
      <c r="G1" s="99" t="s">
        <v>12</v>
      </c>
      <c r="H1" s="99" t="s">
        <v>13</v>
      </c>
      <c r="I1" s="99" t="s">
        <v>15</v>
      </c>
      <c r="J1" s="107" t="s">
        <v>14</v>
      </c>
      <c r="K1" s="20">
        <v>1</v>
      </c>
      <c r="L1" s="20" t="s">
        <v>8</v>
      </c>
    </row>
    <row r="2" spans="1:12" x14ac:dyDescent="0.25">
      <c r="F2" s="101"/>
      <c r="J2" s="108"/>
    </row>
    <row r="3" spans="1:12" x14ac:dyDescent="0.25">
      <c r="J3" s="108"/>
    </row>
    <row r="4" spans="1:12" x14ac:dyDescent="0.25">
      <c r="E4" s="101"/>
      <c r="F4" s="101"/>
      <c r="J4" s="108"/>
    </row>
    <row r="5" spans="1:12" x14ac:dyDescent="0.25">
      <c r="J5" s="108"/>
    </row>
    <row r="6" spans="1:12" x14ac:dyDescent="0.25">
      <c r="J6" s="108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7"/>
  <dimension ref="A1:I284"/>
  <sheetViews>
    <sheetView showGridLines="0" workbookViewId="0">
      <selection activeCell="B15" sqref="B15"/>
    </sheetView>
  </sheetViews>
  <sheetFormatPr defaultRowHeight="15" x14ac:dyDescent="0.25"/>
  <cols>
    <col min="1" max="1" width="12.42578125" customWidth="1"/>
    <col min="2" max="3" width="17.85546875" style="34" customWidth="1"/>
    <col min="4" max="4" width="15.5703125" customWidth="1"/>
    <col min="5" max="5" width="12.42578125" style="30" customWidth="1"/>
    <col min="6" max="6" width="17.7109375" customWidth="1"/>
    <col min="7" max="7" width="9" style="13"/>
    <col min="8" max="8" width="12.140625" customWidth="1"/>
  </cols>
  <sheetData>
    <row r="1" spans="1:9" s="102" customFormat="1" ht="19.5" customHeight="1" x14ac:dyDescent="0.25">
      <c r="A1" s="103" t="s">
        <v>22</v>
      </c>
      <c r="B1" s="104" t="s">
        <v>63</v>
      </c>
      <c r="C1" s="104" t="s">
        <v>122</v>
      </c>
      <c r="D1" s="103" t="s">
        <v>84</v>
      </c>
      <c r="E1" s="104" t="s">
        <v>64</v>
      </c>
      <c r="F1" s="103" t="s">
        <v>37</v>
      </c>
      <c r="G1" s="105" t="s">
        <v>119</v>
      </c>
      <c r="H1" s="106" t="s">
        <v>56</v>
      </c>
      <c r="I1" s="106" t="s">
        <v>121</v>
      </c>
    </row>
    <row r="2" spans="1:9" x14ac:dyDescent="0.25">
      <c r="A2" s="7"/>
      <c r="B2" s="33"/>
      <c r="H2" s="21"/>
      <c r="I2" s="21"/>
    </row>
    <row r="3" spans="1:9" x14ac:dyDescent="0.25">
      <c r="A3" s="7"/>
      <c r="B3" s="33"/>
      <c r="H3" s="21"/>
      <c r="I3" s="21"/>
    </row>
    <row r="4" spans="1:9" x14ac:dyDescent="0.25">
      <c r="A4" s="7"/>
      <c r="B4" s="33"/>
      <c r="H4" s="21"/>
      <c r="I4" s="21"/>
    </row>
    <row r="5" spans="1:9" x14ac:dyDescent="0.25">
      <c r="A5" s="7"/>
      <c r="B5" s="33"/>
      <c r="H5" s="21"/>
      <c r="I5" s="21"/>
    </row>
    <row r="6" spans="1:9" x14ac:dyDescent="0.25">
      <c r="A6" s="7"/>
      <c r="B6" s="33"/>
    </row>
    <row r="7" spans="1:9" x14ac:dyDescent="0.25">
      <c r="A7" s="7"/>
      <c r="B7" s="33"/>
    </row>
    <row r="8" spans="1:9" x14ac:dyDescent="0.25">
      <c r="A8" s="7"/>
      <c r="B8" s="33"/>
    </row>
    <row r="9" spans="1:9" x14ac:dyDescent="0.25">
      <c r="A9" s="7"/>
      <c r="B9" s="33"/>
    </row>
    <row r="10" spans="1:9" x14ac:dyDescent="0.25">
      <c r="A10" s="7"/>
      <c r="B10" s="33"/>
    </row>
    <row r="11" spans="1:9" x14ac:dyDescent="0.25">
      <c r="A11" s="7"/>
      <c r="B11" s="33"/>
    </row>
    <row r="12" spans="1:9" x14ac:dyDescent="0.25">
      <c r="A12" s="7"/>
      <c r="B12" s="33"/>
    </row>
    <row r="13" spans="1:9" x14ac:dyDescent="0.25">
      <c r="A13" s="7"/>
      <c r="B13" s="33"/>
      <c r="H13" s="21"/>
    </row>
    <row r="14" spans="1:9" x14ac:dyDescent="0.25">
      <c r="A14" s="7"/>
      <c r="B14" s="33"/>
      <c r="H14" s="21"/>
      <c r="I14" s="21"/>
    </row>
    <row r="15" spans="1:9" x14ac:dyDescent="0.25">
      <c r="A15" s="7"/>
      <c r="B15" s="33"/>
      <c r="H15" s="21"/>
      <c r="I15" s="21"/>
    </row>
    <row r="16" spans="1:9" x14ac:dyDescent="0.25">
      <c r="A16" s="7"/>
      <c r="B16" s="33"/>
      <c r="H16" s="21"/>
    </row>
    <row r="17" spans="1:8" x14ac:dyDescent="0.25">
      <c r="A17" s="7"/>
      <c r="B17" s="33"/>
      <c r="H17" s="21"/>
    </row>
    <row r="18" spans="1:8" x14ac:dyDescent="0.25">
      <c r="A18" s="7"/>
      <c r="B18" s="33"/>
      <c r="H18" s="21"/>
    </row>
    <row r="19" spans="1:8" x14ac:dyDescent="0.25">
      <c r="A19" s="7"/>
      <c r="B19" s="33"/>
      <c r="H19" s="21"/>
    </row>
    <row r="20" spans="1:8" x14ac:dyDescent="0.25">
      <c r="A20" s="7"/>
      <c r="B20" s="33"/>
    </row>
    <row r="21" spans="1:8" x14ac:dyDescent="0.25">
      <c r="A21" s="7"/>
      <c r="B21" s="33"/>
    </row>
    <row r="22" spans="1:8" x14ac:dyDescent="0.25">
      <c r="A22" s="7"/>
      <c r="B22" s="33"/>
      <c r="H22" s="21"/>
    </row>
    <row r="23" spans="1:8" x14ac:dyDescent="0.25">
      <c r="A23" s="7"/>
      <c r="B23" s="33"/>
      <c r="H23" s="21"/>
    </row>
    <row r="24" spans="1:8" x14ac:dyDescent="0.25">
      <c r="A24" s="7"/>
      <c r="B24" s="33"/>
      <c r="H24" s="21"/>
    </row>
    <row r="25" spans="1:8" x14ac:dyDescent="0.25">
      <c r="A25" s="7"/>
      <c r="B25" s="33"/>
      <c r="H25" s="21"/>
    </row>
    <row r="26" spans="1:8" x14ac:dyDescent="0.25">
      <c r="A26" s="7"/>
      <c r="B26" s="33"/>
      <c r="H26" s="21"/>
    </row>
    <row r="27" spans="1:8" x14ac:dyDescent="0.25">
      <c r="A27" s="7"/>
      <c r="B27" s="33"/>
      <c r="H27" s="21"/>
    </row>
    <row r="28" spans="1:8" x14ac:dyDescent="0.25">
      <c r="A28" s="7"/>
      <c r="B28" s="33"/>
      <c r="H28" s="21"/>
    </row>
    <row r="29" spans="1:8" x14ac:dyDescent="0.25">
      <c r="A29" s="7"/>
      <c r="B29" s="33"/>
    </row>
    <row r="30" spans="1:8" x14ac:dyDescent="0.25">
      <c r="A30" s="7"/>
      <c r="B30" s="33"/>
      <c r="H30" s="21"/>
    </row>
    <row r="31" spans="1:8" x14ac:dyDescent="0.25">
      <c r="A31" s="7"/>
      <c r="B31" s="33"/>
      <c r="H31" s="21"/>
    </row>
    <row r="32" spans="1:8" x14ac:dyDescent="0.25">
      <c r="A32" s="7"/>
      <c r="B32" s="33"/>
      <c r="H32" s="21"/>
    </row>
    <row r="33" spans="1:8" x14ac:dyDescent="0.25">
      <c r="A33" s="7"/>
      <c r="B33" s="33"/>
      <c r="H33" s="21"/>
    </row>
    <row r="34" spans="1:8" x14ac:dyDescent="0.25">
      <c r="A34" s="7"/>
      <c r="B34" s="33"/>
      <c r="H34" s="21"/>
    </row>
    <row r="35" spans="1:8" x14ac:dyDescent="0.25">
      <c r="A35" s="7"/>
      <c r="B35" s="33"/>
      <c r="H35" s="21"/>
    </row>
    <row r="36" spans="1:8" x14ac:dyDescent="0.25">
      <c r="A36" s="7"/>
      <c r="B36" s="33"/>
      <c r="H36" s="21"/>
    </row>
    <row r="37" spans="1:8" x14ac:dyDescent="0.25">
      <c r="A37" s="7"/>
      <c r="B37" s="33"/>
      <c r="H37" s="21"/>
    </row>
    <row r="38" spans="1:8" x14ac:dyDescent="0.25">
      <c r="A38" s="7"/>
      <c r="B38" s="33"/>
      <c r="H38" s="21"/>
    </row>
    <row r="39" spans="1:8" x14ac:dyDescent="0.25">
      <c r="A39" s="7"/>
      <c r="B39" s="33"/>
      <c r="H39" s="21"/>
    </row>
    <row r="40" spans="1:8" x14ac:dyDescent="0.25">
      <c r="A40" s="7"/>
      <c r="B40" s="33"/>
      <c r="H40" s="21"/>
    </row>
    <row r="41" spans="1:8" x14ac:dyDescent="0.25">
      <c r="A41" s="7"/>
      <c r="B41" s="33"/>
      <c r="H41" s="21"/>
    </row>
    <row r="42" spans="1:8" x14ac:dyDescent="0.25">
      <c r="A42" s="7"/>
      <c r="B42" s="33"/>
    </row>
    <row r="43" spans="1:8" x14ac:dyDescent="0.25">
      <c r="A43" s="7"/>
      <c r="B43" s="33"/>
      <c r="H43" s="21"/>
    </row>
    <row r="44" spans="1:8" x14ac:dyDescent="0.25">
      <c r="A44" s="7"/>
      <c r="B44" s="33"/>
      <c r="H44" s="21"/>
    </row>
    <row r="45" spans="1:8" x14ac:dyDescent="0.25">
      <c r="A45" s="7"/>
      <c r="B45" s="33"/>
    </row>
    <row r="46" spans="1:8" x14ac:dyDescent="0.25">
      <c r="A46" s="7"/>
      <c r="B46" s="33"/>
      <c r="H46" s="21"/>
    </row>
    <row r="47" spans="1:8" x14ac:dyDescent="0.25">
      <c r="A47" s="7"/>
      <c r="B47" s="33"/>
      <c r="H47" s="21"/>
    </row>
    <row r="48" spans="1:8" x14ac:dyDescent="0.25">
      <c r="A48" s="7"/>
      <c r="B48" s="33"/>
      <c r="H48" s="21"/>
    </row>
    <row r="49" spans="1:8" x14ac:dyDescent="0.25">
      <c r="A49" s="7"/>
      <c r="B49" s="33"/>
      <c r="H49" s="21"/>
    </row>
    <row r="50" spans="1:8" x14ac:dyDescent="0.25">
      <c r="A50" s="7"/>
      <c r="B50" s="33"/>
    </row>
    <row r="51" spans="1:8" x14ac:dyDescent="0.25">
      <c r="A51" s="7"/>
      <c r="B51" s="33"/>
      <c r="H51" s="21"/>
    </row>
    <row r="52" spans="1:8" x14ac:dyDescent="0.25">
      <c r="A52" s="7"/>
      <c r="B52" s="33"/>
    </row>
    <row r="53" spans="1:8" x14ac:dyDescent="0.25">
      <c r="A53" s="7"/>
      <c r="B53" s="33"/>
      <c r="H53" s="21"/>
    </row>
    <row r="54" spans="1:8" x14ac:dyDescent="0.25">
      <c r="A54" s="7"/>
      <c r="B54" s="33"/>
    </row>
    <row r="55" spans="1:8" x14ac:dyDescent="0.25">
      <c r="A55" s="7"/>
      <c r="B55" s="33"/>
    </row>
    <row r="56" spans="1:8" x14ac:dyDescent="0.25">
      <c r="A56" s="7"/>
      <c r="B56" s="33"/>
    </row>
    <row r="57" spans="1:8" x14ac:dyDescent="0.25">
      <c r="A57" s="7"/>
      <c r="B57" s="33"/>
    </row>
    <row r="58" spans="1:8" x14ac:dyDescent="0.25">
      <c r="A58" s="7"/>
      <c r="B58" s="33"/>
    </row>
    <row r="59" spans="1:8" x14ac:dyDescent="0.25">
      <c r="A59" s="7"/>
      <c r="B59" s="33"/>
      <c r="H59" s="21"/>
    </row>
    <row r="60" spans="1:8" x14ac:dyDescent="0.25">
      <c r="A60" s="7"/>
      <c r="B60" s="33"/>
      <c r="H60" s="21"/>
    </row>
    <row r="61" spans="1:8" x14ac:dyDescent="0.25">
      <c r="A61" s="7"/>
      <c r="B61" s="33"/>
    </row>
    <row r="62" spans="1:8" x14ac:dyDescent="0.25">
      <c r="A62" s="7"/>
      <c r="B62" s="33"/>
      <c r="H62" s="21"/>
    </row>
    <row r="63" spans="1:8" x14ac:dyDescent="0.25">
      <c r="A63" s="7"/>
      <c r="B63" s="33"/>
      <c r="H63" s="21"/>
    </row>
    <row r="64" spans="1:8" x14ac:dyDescent="0.25">
      <c r="A64" s="7"/>
      <c r="B64" s="33"/>
    </row>
    <row r="65" spans="1:8" x14ac:dyDescent="0.25">
      <c r="A65" s="7"/>
      <c r="B65" s="33"/>
      <c r="H65" s="21"/>
    </row>
    <row r="66" spans="1:8" x14ac:dyDescent="0.25">
      <c r="A66" s="7"/>
      <c r="B66" s="33"/>
    </row>
    <row r="67" spans="1:8" x14ac:dyDescent="0.25">
      <c r="A67" s="7"/>
      <c r="B67" s="33"/>
      <c r="H67" s="21"/>
    </row>
    <row r="68" spans="1:8" x14ac:dyDescent="0.25">
      <c r="A68" s="7"/>
      <c r="B68" s="33"/>
    </row>
    <row r="69" spans="1:8" x14ac:dyDescent="0.25">
      <c r="A69" s="7"/>
      <c r="B69" s="33"/>
    </row>
    <row r="70" spans="1:8" x14ac:dyDescent="0.25">
      <c r="A70" s="7"/>
      <c r="B70" s="33"/>
      <c r="H70" s="21"/>
    </row>
    <row r="71" spans="1:8" x14ac:dyDescent="0.25">
      <c r="A71" s="7"/>
      <c r="B71" s="33"/>
    </row>
    <row r="72" spans="1:8" x14ac:dyDescent="0.25">
      <c r="A72" s="7"/>
      <c r="B72" s="33"/>
    </row>
    <row r="73" spans="1:8" x14ac:dyDescent="0.25">
      <c r="A73" s="7"/>
      <c r="B73" s="33"/>
      <c r="H73" s="21"/>
    </row>
    <row r="74" spans="1:8" x14ac:dyDescent="0.25">
      <c r="A74" s="7"/>
      <c r="B74" s="33"/>
      <c r="H74" s="21"/>
    </row>
    <row r="75" spans="1:8" x14ac:dyDescent="0.25">
      <c r="A75" s="7"/>
      <c r="B75" s="33"/>
    </row>
    <row r="76" spans="1:8" x14ac:dyDescent="0.25">
      <c r="A76" s="7"/>
      <c r="B76" s="33"/>
    </row>
    <row r="77" spans="1:8" x14ac:dyDescent="0.25">
      <c r="A77" s="7"/>
      <c r="B77" s="33"/>
    </row>
    <row r="78" spans="1:8" x14ac:dyDescent="0.25">
      <c r="A78" s="7"/>
      <c r="B78" s="33"/>
    </row>
    <row r="79" spans="1:8" x14ac:dyDescent="0.25">
      <c r="A79" s="7"/>
      <c r="B79" s="33"/>
    </row>
    <row r="80" spans="1:8" x14ac:dyDescent="0.25">
      <c r="A80" s="7"/>
      <c r="B80" s="33"/>
      <c r="H80" s="21"/>
    </row>
    <row r="81" spans="1:8" x14ac:dyDescent="0.25">
      <c r="A81" s="7"/>
      <c r="B81" s="33"/>
      <c r="H81" s="21"/>
    </row>
    <row r="82" spans="1:8" x14ac:dyDescent="0.25">
      <c r="A82" s="7"/>
      <c r="B82" s="33"/>
      <c r="C82" s="33"/>
    </row>
    <row r="83" spans="1:8" x14ac:dyDescent="0.25">
      <c r="A83" s="7"/>
      <c r="B83" s="33"/>
      <c r="C83" s="33"/>
    </row>
    <row r="84" spans="1:8" x14ac:dyDescent="0.25">
      <c r="A84" s="7"/>
      <c r="B84" s="33"/>
      <c r="C84" s="33"/>
    </row>
    <row r="85" spans="1:8" x14ac:dyDescent="0.25">
      <c r="A85" s="7"/>
      <c r="B85" s="33"/>
    </row>
    <row r="86" spans="1:8" x14ac:dyDescent="0.25">
      <c r="A86" s="7"/>
      <c r="B86" s="33"/>
    </row>
    <row r="87" spans="1:8" x14ac:dyDescent="0.25">
      <c r="A87" s="7"/>
      <c r="B87" s="33"/>
    </row>
    <row r="88" spans="1:8" x14ac:dyDescent="0.25">
      <c r="A88" s="7"/>
      <c r="B88" s="33"/>
    </row>
    <row r="89" spans="1:8" x14ac:dyDescent="0.25">
      <c r="A89" s="7"/>
      <c r="B89" s="33"/>
    </row>
    <row r="90" spans="1:8" x14ac:dyDescent="0.25">
      <c r="A90" s="7"/>
      <c r="B90" s="33"/>
    </row>
    <row r="91" spans="1:8" x14ac:dyDescent="0.25">
      <c r="A91" s="7"/>
      <c r="B91" s="33"/>
    </row>
    <row r="92" spans="1:8" x14ac:dyDescent="0.25">
      <c r="A92" s="7"/>
      <c r="B92" s="33"/>
    </row>
    <row r="93" spans="1:8" x14ac:dyDescent="0.25">
      <c r="A93" s="7"/>
      <c r="B93" s="33"/>
    </row>
    <row r="94" spans="1:8" x14ac:dyDescent="0.25">
      <c r="A94" s="7"/>
      <c r="B94" s="33"/>
    </row>
    <row r="95" spans="1:8" x14ac:dyDescent="0.25">
      <c r="A95" s="7"/>
      <c r="B95" s="33"/>
    </row>
    <row r="96" spans="1:8" x14ac:dyDescent="0.25">
      <c r="A96" s="7"/>
      <c r="B96" s="33"/>
    </row>
    <row r="97" spans="1:2" x14ac:dyDescent="0.25">
      <c r="A97" s="7"/>
      <c r="B97" s="33"/>
    </row>
    <row r="98" spans="1:2" x14ac:dyDescent="0.25">
      <c r="A98" s="7"/>
      <c r="B98" s="33"/>
    </row>
    <row r="99" spans="1:2" x14ac:dyDescent="0.25">
      <c r="A99" s="7"/>
      <c r="B99" s="33"/>
    </row>
    <row r="100" spans="1:2" x14ac:dyDescent="0.25">
      <c r="A100" s="7"/>
      <c r="B100" s="33"/>
    </row>
    <row r="101" spans="1:2" x14ac:dyDescent="0.25">
      <c r="A101" s="7"/>
      <c r="B101" s="33"/>
    </row>
    <row r="102" spans="1:2" x14ac:dyDescent="0.25">
      <c r="A102" s="7"/>
      <c r="B102" s="33"/>
    </row>
    <row r="103" spans="1:2" x14ac:dyDescent="0.25">
      <c r="A103" s="7"/>
      <c r="B103" s="33"/>
    </row>
    <row r="104" spans="1:2" x14ac:dyDescent="0.25">
      <c r="A104" s="7"/>
      <c r="B104" s="33"/>
    </row>
    <row r="105" spans="1:2" x14ac:dyDescent="0.25">
      <c r="A105" s="7"/>
      <c r="B105" s="33"/>
    </row>
    <row r="106" spans="1:2" x14ac:dyDescent="0.25">
      <c r="A106" s="7"/>
      <c r="B106" s="33"/>
    </row>
    <row r="107" spans="1:2" x14ac:dyDescent="0.25">
      <c r="A107" s="7"/>
      <c r="B107" s="33"/>
    </row>
    <row r="108" spans="1:2" x14ac:dyDescent="0.25">
      <c r="A108" s="7"/>
      <c r="B108" s="33"/>
    </row>
    <row r="109" spans="1:2" x14ac:dyDescent="0.25">
      <c r="A109" s="7"/>
      <c r="B109" s="33"/>
    </row>
    <row r="110" spans="1:2" x14ac:dyDescent="0.25">
      <c r="A110" s="7"/>
      <c r="B110" s="33"/>
    </row>
    <row r="111" spans="1:2" x14ac:dyDescent="0.25">
      <c r="A111" s="7"/>
      <c r="B111" s="33"/>
    </row>
    <row r="112" spans="1:2" x14ac:dyDescent="0.25">
      <c r="A112" s="7"/>
      <c r="B112" s="33"/>
    </row>
    <row r="113" spans="1:2" x14ac:dyDescent="0.25">
      <c r="A113" s="7"/>
      <c r="B113" s="33"/>
    </row>
    <row r="114" spans="1:2" x14ac:dyDescent="0.25">
      <c r="A114" s="7"/>
      <c r="B114" s="33"/>
    </row>
    <row r="115" spans="1:2" x14ac:dyDescent="0.25">
      <c r="A115" s="7"/>
      <c r="B115" s="33"/>
    </row>
    <row r="116" spans="1:2" x14ac:dyDescent="0.25">
      <c r="A116" s="7"/>
      <c r="B116" s="33"/>
    </row>
    <row r="117" spans="1:2" x14ac:dyDescent="0.25">
      <c r="A117" s="7"/>
      <c r="B117" s="33"/>
    </row>
    <row r="118" spans="1:2" x14ac:dyDescent="0.25">
      <c r="A118" s="7"/>
      <c r="B118" s="33"/>
    </row>
    <row r="119" spans="1:2" x14ac:dyDescent="0.25">
      <c r="A119" s="7"/>
      <c r="B119" s="33"/>
    </row>
    <row r="120" spans="1:2" x14ac:dyDescent="0.25">
      <c r="A120" s="7"/>
      <c r="B120" s="33"/>
    </row>
    <row r="121" spans="1:2" x14ac:dyDescent="0.25">
      <c r="A121" s="7"/>
      <c r="B121" s="33"/>
    </row>
    <row r="122" spans="1:2" x14ac:dyDescent="0.25">
      <c r="A122" s="7"/>
      <c r="B122" s="33"/>
    </row>
    <row r="123" spans="1:2" x14ac:dyDescent="0.25">
      <c r="A123" s="7"/>
      <c r="B123" s="33"/>
    </row>
    <row r="124" spans="1:2" x14ac:dyDescent="0.25">
      <c r="A124" s="7"/>
      <c r="B124" s="33"/>
    </row>
    <row r="125" spans="1:2" x14ac:dyDescent="0.25">
      <c r="A125" s="7"/>
      <c r="B125" s="33"/>
    </row>
    <row r="126" spans="1:2" x14ac:dyDescent="0.25">
      <c r="A126" s="7"/>
      <c r="B126" s="33"/>
    </row>
    <row r="127" spans="1:2" x14ac:dyDescent="0.25">
      <c r="A127" s="7"/>
      <c r="B127" s="33"/>
    </row>
    <row r="128" spans="1:2" x14ac:dyDescent="0.25">
      <c r="A128" s="7"/>
      <c r="B128" s="33"/>
    </row>
    <row r="129" spans="1:2" x14ac:dyDescent="0.25">
      <c r="A129" s="7"/>
      <c r="B129" s="33"/>
    </row>
    <row r="130" spans="1:2" x14ac:dyDescent="0.25">
      <c r="A130" s="7"/>
      <c r="B130" s="33"/>
    </row>
    <row r="131" spans="1:2" x14ac:dyDescent="0.25">
      <c r="A131" s="7"/>
      <c r="B131" s="33"/>
    </row>
    <row r="132" spans="1:2" x14ac:dyDescent="0.25">
      <c r="A132" s="7"/>
      <c r="B132" s="33"/>
    </row>
    <row r="133" spans="1:2" x14ac:dyDescent="0.25">
      <c r="A133" s="7"/>
      <c r="B133" s="33"/>
    </row>
    <row r="134" spans="1:2" x14ac:dyDescent="0.25">
      <c r="A134" s="7"/>
      <c r="B134" s="33"/>
    </row>
    <row r="135" spans="1:2" x14ac:dyDescent="0.25">
      <c r="A135" s="7"/>
      <c r="B135" s="33"/>
    </row>
    <row r="136" spans="1:2" x14ac:dyDescent="0.25">
      <c r="A136" s="7"/>
      <c r="B136" s="33"/>
    </row>
    <row r="137" spans="1:2" x14ac:dyDescent="0.25">
      <c r="A137" s="7"/>
      <c r="B137" s="33"/>
    </row>
    <row r="138" spans="1:2" x14ac:dyDescent="0.25">
      <c r="A138" s="7"/>
      <c r="B138" s="33"/>
    </row>
    <row r="139" spans="1:2" x14ac:dyDescent="0.25">
      <c r="A139" s="7"/>
      <c r="B139" s="33"/>
    </row>
    <row r="140" spans="1:2" x14ac:dyDescent="0.25">
      <c r="A140" s="7"/>
      <c r="B140" s="33"/>
    </row>
    <row r="141" spans="1:2" x14ac:dyDescent="0.25">
      <c r="A141" s="7"/>
      <c r="B141" s="33"/>
    </row>
    <row r="142" spans="1:2" x14ac:dyDescent="0.25">
      <c r="A142" s="7"/>
      <c r="B142" s="33"/>
    </row>
    <row r="143" spans="1:2" x14ac:dyDescent="0.25">
      <c r="A143" s="7"/>
      <c r="B143" s="33"/>
    </row>
    <row r="144" spans="1:2" x14ac:dyDescent="0.25">
      <c r="A144" s="7"/>
      <c r="B144" s="33"/>
    </row>
    <row r="145" spans="1:2" x14ac:dyDescent="0.25">
      <c r="A145" s="7"/>
      <c r="B145" s="33"/>
    </row>
    <row r="146" spans="1:2" x14ac:dyDescent="0.25">
      <c r="A146" s="7"/>
      <c r="B146" s="33"/>
    </row>
    <row r="147" spans="1:2" x14ac:dyDescent="0.25">
      <c r="A147" s="7"/>
      <c r="B147" s="33"/>
    </row>
    <row r="148" spans="1:2" x14ac:dyDescent="0.25">
      <c r="A148" s="7"/>
      <c r="B148" s="33"/>
    </row>
    <row r="149" spans="1:2" x14ac:dyDescent="0.25">
      <c r="A149" s="7"/>
      <c r="B149" s="33"/>
    </row>
    <row r="150" spans="1:2" x14ac:dyDescent="0.25">
      <c r="A150" s="7"/>
      <c r="B150" s="33"/>
    </row>
    <row r="151" spans="1:2" x14ac:dyDescent="0.25">
      <c r="A151" s="7"/>
      <c r="B151" s="33"/>
    </row>
    <row r="152" spans="1:2" x14ac:dyDescent="0.25">
      <c r="A152" s="7"/>
      <c r="B152" s="33"/>
    </row>
    <row r="153" spans="1:2" x14ac:dyDescent="0.25">
      <c r="A153" s="7"/>
      <c r="B153" s="33"/>
    </row>
    <row r="154" spans="1:2" x14ac:dyDescent="0.25">
      <c r="A154" s="7"/>
      <c r="B154" s="33"/>
    </row>
    <row r="155" spans="1:2" x14ac:dyDescent="0.25">
      <c r="A155" s="7"/>
      <c r="B155" s="33"/>
    </row>
    <row r="156" spans="1:2" x14ac:dyDescent="0.25">
      <c r="A156" s="7"/>
      <c r="B156" s="33"/>
    </row>
    <row r="157" spans="1:2" x14ac:dyDescent="0.25">
      <c r="A157" s="7"/>
      <c r="B157" s="33"/>
    </row>
    <row r="158" spans="1:2" x14ac:dyDescent="0.25">
      <c r="A158" s="7"/>
      <c r="B158" s="33"/>
    </row>
    <row r="159" spans="1:2" x14ac:dyDescent="0.25">
      <c r="A159" s="7"/>
      <c r="B159" s="33"/>
    </row>
    <row r="160" spans="1:2" x14ac:dyDescent="0.25">
      <c r="A160" s="7"/>
      <c r="B160" s="33"/>
    </row>
    <row r="161" spans="1:2" x14ac:dyDescent="0.25">
      <c r="A161" s="7"/>
      <c r="B161" s="33"/>
    </row>
    <row r="162" spans="1:2" x14ac:dyDescent="0.25">
      <c r="A162" s="7"/>
      <c r="B162" s="33"/>
    </row>
    <row r="163" spans="1:2" x14ac:dyDescent="0.25">
      <c r="A163" s="7"/>
      <c r="B163" s="33"/>
    </row>
    <row r="164" spans="1:2" x14ac:dyDescent="0.25">
      <c r="A164" s="7"/>
      <c r="B164" s="33"/>
    </row>
    <row r="165" spans="1:2" x14ac:dyDescent="0.25">
      <c r="A165" s="7"/>
      <c r="B165" s="33"/>
    </row>
    <row r="166" spans="1:2" x14ac:dyDescent="0.25">
      <c r="A166" s="7"/>
      <c r="B166" s="33"/>
    </row>
    <row r="167" spans="1:2" x14ac:dyDescent="0.25">
      <c r="A167" s="7"/>
      <c r="B167" s="33"/>
    </row>
    <row r="168" spans="1:2" x14ac:dyDescent="0.25">
      <c r="A168" s="7"/>
      <c r="B168" s="33"/>
    </row>
    <row r="169" spans="1:2" x14ac:dyDescent="0.25">
      <c r="A169" s="7"/>
      <c r="B169" s="33"/>
    </row>
    <row r="170" spans="1:2" x14ac:dyDescent="0.25">
      <c r="A170" s="7"/>
      <c r="B170" s="33"/>
    </row>
    <row r="171" spans="1:2" x14ac:dyDescent="0.25">
      <c r="A171" s="7"/>
      <c r="B171" s="33"/>
    </row>
    <row r="172" spans="1:2" x14ac:dyDescent="0.25">
      <c r="A172" s="7"/>
      <c r="B172" s="33"/>
    </row>
    <row r="173" spans="1:2" x14ac:dyDescent="0.25">
      <c r="A173" s="7"/>
      <c r="B173" s="33"/>
    </row>
    <row r="174" spans="1:2" x14ac:dyDescent="0.25">
      <c r="A174" s="7"/>
      <c r="B174" s="33"/>
    </row>
    <row r="175" spans="1:2" x14ac:dyDescent="0.25">
      <c r="A175" s="7"/>
      <c r="B175" s="33"/>
    </row>
    <row r="176" spans="1:2" x14ac:dyDescent="0.25">
      <c r="A176" s="7"/>
      <c r="B176" s="33"/>
    </row>
    <row r="177" spans="1:2" x14ac:dyDescent="0.25">
      <c r="A177" s="7"/>
      <c r="B177" s="33"/>
    </row>
    <row r="178" spans="1:2" x14ac:dyDescent="0.25">
      <c r="A178" s="7"/>
      <c r="B178" s="33"/>
    </row>
    <row r="179" spans="1:2" x14ac:dyDescent="0.25">
      <c r="A179" s="7"/>
      <c r="B179" s="33"/>
    </row>
    <row r="180" spans="1:2" x14ac:dyDescent="0.25">
      <c r="A180" s="7"/>
      <c r="B180" s="33"/>
    </row>
    <row r="181" spans="1:2" x14ac:dyDescent="0.25">
      <c r="A181" s="7"/>
      <c r="B181" s="33"/>
    </row>
    <row r="182" spans="1:2" x14ac:dyDescent="0.25">
      <c r="A182" s="7"/>
      <c r="B182" s="33"/>
    </row>
    <row r="183" spans="1:2" x14ac:dyDescent="0.25">
      <c r="A183" s="7"/>
      <c r="B183" s="33"/>
    </row>
    <row r="184" spans="1:2" x14ac:dyDescent="0.25">
      <c r="A184" s="7"/>
      <c r="B184" s="33"/>
    </row>
    <row r="185" spans="1:2" x14ac:dyDescent="0.25">
      <c r="A185" s="7"/>
      <c r="B185" s="33"/>
    </row>
    <row r="186" spans="1:2" x14ac:dyDescent="0.25">
      <c r="A186" s="7"/>
      <c r="B186" s="33"/>
    </row>
    <row r="187" spans="1:2" x14ac:dyDescent="0.25">
      <c r="A187" s="7"/>
      <c r="B187" s="33"/>
    </row>
    <row r="188" spans="1:2" x14ac:dyDescent="0.25">
      <c r="A188" s="7"/>
      <c r="B188" s="33"/>
    </row>
    <row r="189" spans="1:2" x14ac:dyDescent="0.25">
      <c r="A189" s="7"/>
      <c r="B189" s="33"/>
    </row>
    <row r="190" spans="1:2" x14ac:dyDescent="0.25">
      <c r="A190" s="7"/>
      <c r="B190" s="33"/>
    </row>
    <row r="191" spans="1:2" x14ac:dyDescent="0.25">
      <c r="A191" s="7"/>
      <c r="B191" s="33"/>
    </row>
    <row r="192" spans="1:2" x14ac:dyDescent="0.25">
      <c r="A192" s="7"/>
      <c r="B192" s="33"/>
    </row>
    <row r="193" spans="1:2" x14ac:dyDescent="0.25">
      <c r="A193" s="7"/>
      <c r="B193" s="33"/>
    </row>
    <row r="194" spans="1:2" x14ac:dyDescent="0.25">
      <c r="A194" s="7"/>
      <c r="B194" s="33"/>
    </row>
    <row r="195" spans="1:2" x14ac:dyDescent="0.25">
      <c r="A195" s="7"/>
      <c r="B195" s="33"/>
    </row>
    <row r="196" spans="1:2" x14ac:dyDescent="0.25">
      <c r="A196" s="7"/>
      <c r="B196" s="33"/>
    </row>
    <row r="197" spans="1:2" x14ac:dyDescent="0.25">
      <c r="A197" s="7"/>
      <c r="B197" s="33"/>
    </row>
    <row r="198" spans="1:2" x14ac:dyDescent="0.25">
      <c r="A198" s="7"/>
      <c r="B198" s="33"/>
    </row>
    <row r="199" spans="1:2" x14ac:dyDescent="0.25">
      <c r="A199" s="7"/>
      <c r="B199" s="33"/>
    </row>
    <row r="200" spans="1:2" x14ac:dyDescent="0.25">
      <c r="A200" s="7"/>
      <c r="B200" s="33"/>
    </row>
    <row r="201" spans="1:2" x14ac:dyDescent="0.25">
      <c r="A201" s="7"/>
      <c r="B201" s="33"/>
    </row>
    <row r="202" spans="1:2" x14ac:dyDescent="0.25">
      <c r="A202" s="7"/>
      <c r="B202" s="33"/>
    </row>
    <row r="203" spans="1:2" x14ac:dyDescent="0.25">
      <c r="A203" s="7"/>
      <c r="B203" s="33"/>
    </row>
    <row r="204" spans="1:2" x14ac:dyDescent="0.25">
      <c r="A204" s="7"/>
      <c r="B204" s="33"/>
    </row>
    <row r="205" spans="1:2" x14ac:dyDescent="0.25">
      <c r="A205" s="7"/>
      <c r="B205" s="33"/>
    </row>
    <row r="206" spans="1:2" x14ac:dyDescent="0.25">
      <c r="A206" s="7"/>
      <c r="B206" s="33"/>
    </row>
    <row r="207" spans="1:2" x14ac:dyDescent="0.25">
      <c r="A207" s="7"/>
      <c r="B207" s="33"/>
    </row>
    <row r="208" spans="1:2" x14ac:dyDescent="0.25">
      <c r="A208" s="7"/>
      <c r="B208" s="33"/>
    </row>
    <row r="209" spans="1:2" x14ac:dyDescent="0.25">
      <c r="A209" s="7"/>
      <c r="B209" s="33"/>
    </row>
    <row r="210" spans="1:2" x14ac:dyDescent="0.25">
      <c r="A210" s="7"/>
      <c r="B210" s="33"/>
    </row>
    <row r="211" spans="1:2" x14ac:dyDescent="0.25">
      <c r="A211" s="7"/>
      <c r="B211" s="33"/>
    </row>
    <row r="212" spans="1:2" x14ac:dyDescent="0.25">
      <c r="A212" s="7"/>
      <c r="B212" s="33"/>
    </row>
    <row r="213" spans="1:2" x14ac:dyDescent="0.25">
      <c r="A213" s="7"/>
      <c r="B213" s="33"/>
    </row>
    <row r="214" spans="1:2" x14ac:dyDescent="0.25">
      <c r="A214" s="7"/>
      <c r="B214" s="33"/>
    </row>
    <row r="215" spans="1:2" x14ac:dyDescent="0.25">
      <c r="A215" s="7"/>
      <c r="B215" s="33"/>
    </row>
    <row r="216" spans="1:2" x14ac:dyDescent="0.25">
      <c r="A216" s="7"/>
      <c r="B216" s="33"/>
    </row>
    <row r="217" spans="1:2" x14ac:dyDescent="0.25">
      <c r="A217" s="7"/>
      <c r="B217" s="33"/>
    </row>
    <row r="218" spans="1:2" x14ac:dyDescent="0.25">
      <c r="A218" s="7"/>
      <c r="B218" s="33"/>
    </row>
    <row r="219" spans="1:2" x14ac:dyDescent="0.25">
      <c r="A219" s="7"/>
      <c r="B219" s="33"/>
    </row>
    <row r="220" spans="1:2" x14ac:dyDescent="0.25">
      <c r="A220" s="7"/>
      <c r="B220" s="33"/>
    </row>
    <row r="221" spans="1:2" x14ac:dyDescent="0.25">
      <c r="A221" s="7"/>
      <c r="B221" s="33"/>
    </row>
    <row r="222" spans="1:2" x14ac:dyDescent="0.25">
      <c r="A222" s="7"/>
      <c r="B222" s="33"/>
    </row>
    <row r="223" spans="1:2" x14ac:dyDescent="0.25">
      <c r="A223" s="7"/>
      <c r="B223" s="33"/>
    </row>
    <row r="224" spans="1:2" x14ac:dyDescent="0.25">
      <c r="A224" s="7"/>
      <c r="B224" s="33"/>
    </row>
    <row r="225" spans="1:2" x14ac:dyDescent="0.25">
      <c r="A225" s="7"/>
      <c r="B225" s="33"/>
    </row>
    <row r="226" spans="1:2" x14ac:dyDescent="0.25">
      <c r="A226" s="7"/>
      <c r="B226" s="33"/>
    </row>
    <row r="227" spans="1:2" x14ac:dyDescent="0.25">
      <c r="A227" s="7"/>
      <c r="B227" s="33"/>
    </row>
    <row r="228" spans="1:2" x14ac:dyDescent="0.25">
      <c r="A228" s="7"/>
      <c r="B228" s="33"/>
    </row>
    <row r="229" spans="1:2" x14ac:dyDescent="0.25">
      <c r="A229" s="7"/>
      <c r="B229" s="33"/>
    </row>
    <row r="230" spans="1:2" x14ac:dyDescent="0.25">
      <c r="A230" s="7"/>
      <c r="B230" s="33"/>
    </row>
    <row r="231" spans="1:2" x14ac:dyDescent="0.25">
      <c r="A231" s="7"/>
      <c r="B231" s="33"/>
    </row>
    <row r="232" spans="1:2" x14ac:dyDescent="0.25">
      <c r="A232" s="7"/>
      <c r="B232" s="33"/>
    </row>
    <row r="233" spans="1:2" x14ac:dyDescent="0.25">
      <c r="A233" s="7"/>
      <c r="B233" s="33"/>
    </row>
    <row r="234" spans="1:2" x14ac:dyDescent="0.25">
      <c r="A234" s="7"/>
      <c r="B234" s="33"/>
    </row>
    <row r="235" spans="1:2" x14ac:dyDescent="0.25">
      <c r="A235" s="7"/>
      <c r="B235" s="33"/>
    </row>
    <row r="236" spans="1:2" x14ac:dyDescent="0.25">
      <c r="A236" s="7"/>
      <c r="B236" s="33"/>
    </row>
    <row r="237" spans="1:2" x14ac:dyDescent="0.25">
      <c r="A237" s="7"/>
      <c r="B237" s="33"/>
    </row>
    <row r="238" spans="1:2" x14ac:dyDescent="0.25">
      <c r="A238" s="7"/>
      <c r="B238" s="33"/>
    </row>
    <row r="239" spans="1:2" x14ac:dyDescent="0.25">
      <c r="A239" s="7"/>
      <c r="B239" s="33"/>
    </row>
    <row r="240" spans="1:2" x14ac:dyDescent="0.25">
      <c r="A240" s="7"/>
      <c r="B240" s="33"/>
    </row>
    <row r="241" spans="1:2" x14ac:dyDescent="0.25">
      <c r="A241" s="7"/>
      <c r="B241" s="33"/>
    </row>
    <row r="242" spans="1:2" x14ac:dyDescent="0.25">
      <c r="A242" s="7"/>
      <c r="B242" s="33"/>
    </row>
    <row r="243" spans="1:2" x14ac:dyDescent="0.25">
      <c r="A243" s="7"/>
      <c r="B243" s="33"/>
    </row>
    <row r="244" spans="1:2" x14ac:dyDescent="0.25">
      <c r="A244" s="7"/>
      <c r="B244" s="33"/>
    </row>
    <row r="245" spans="1:2" x14ac:dyDescent="0.25">
      <c r="A245" s="7"/>
      <c r="B245" s="33"/>
    </row>
    <row r="246" spans="1:2" x14ac:dyDescent="0.25">
      <c r="A246" s="7"/>
      <c r="B246" s="33"/>
    </row>
    <row r="247" spans="1:2" x14ac:dyDescent="0.25">
      <c r="A247" s="7"/>
      <c r="B247" s="33"/>
    </row>
    <row r="248" spans="1:2" x14ac:dyDescent="0.25">
      <c r="A248" s="7"/>
      <c r="B248" s="33"/>
    </row>
    <row r="249" spans="1:2" x14ac:dyDescent="0.25">
      <c r="A249" s="7"/>
      <c r="B249" s="33"/>
    </row>
    <row r="250" spans="1:2" x14ac:dyDescent="0.25">
      <c r="A250" s="7"/>
      <c r="B250" s="33"/>
    </row>
    <row r="251" spans="1:2" x14ac:dyDescent="0.25">
      <c r="A251" s="7"/>
      <c r="B251" s="33"/>
    </row>
    <row r="252" spans="1:2" x14ac:dyDescent="0.25">
      <c r="A252" s="7"/>
      <c r="B252" s="33"/>
    </row>
    <row r="253" spans="1:2" x14ac:dyDescent="0.25">
      <c r="A253" s="7"/>
      <c r="B253" s="33"/>
    </row>
    <row r="254" spans="1:2" x14ac:dyDescent="0.25">
      <c r="A254" s="7"/>
      <c r="B254" s="33"/>
    </row>
    <row r="255" spans="1:2" x14ac:dyDescent="0.25">
      <c r="A255" s="7"/>
      <c r="B255" s="33"/>
    </row>
    <row r="256" spans="1:2" x14ac:dyDescent="0.25">
      <c r="A256" s="7"/>
      <c r="B256" s="33"/>
    </row>
    <row r="257" spans="1:2" x14ac:dyDescent="0.25">
      <c r="A257" s="7"/>
      <c r="B257" s="33"/>
    </row>
    <row r="258" spans="1:2" x14ac:dyDescent="0.25">
      <c r="A258" s="7"/>
      <c r="B258" s="33"/>
    </row>
    <row r="259" spans="1:2" x14ac:dyDescent="0.25">
      <c r="A259" s="7"/>
      <c r="B259" s="33"/>
    </row>
    <row r="260" spans="1:2" x14ac:dyDescent="0.25">
      <c r="A260" s="7"/>
      <c r="B260" s="33"/>
    </row>
    <row r="261" spans="1:2" x14ac:dyDescent="0.25">
      <c r="A261" s="7"/>
      <c r="B261" s="33"/>
    </row>
    <row r="262" spans="1:2" x14ac:dyDescent="0.25">
      <c r="A262" s="7"/>
      <c r="B262" s="33"/>
    </row>
    <row r="263" spans="1:2" x14ac:dyDescent="0.25">
      <c r="A263" s="7"/>
      <c r="B263" s="33"/>
    </row>
    <row r="264" spans="1:2" x14ac:dyDescent="0.25">
      <c r="A264" s="7"/>
      <c r="B264" s="33"/>
    </row>
    <row r="265" spans="1:2" x14ac:dyDescent="0.25">
      <c r="A265" s="7"/>
      <c r="B265" s="33"/>
    </row>
    <row r="266" spans="1:2" x14ac:dyDescent="0.25">
      <c r="A266" s="7"/>
      <c r="B266" s="33"/>
    </row>
    <row r="267" spans="1:2" x14ac:dyDescent="0.25">
      <c r="A267" s="7"/>
      <c r="B267" s="33"/>
    </row>
    <row r="268" spans="1:2" x14ac:dyDescent="0.25">
      <c r="A268" s="7"/>
      <c r="B268" s="33"/>
    </row>
    <row r="269" spans="1:2" x14ac:dyDescent="0.25">
      <c r="A269" s="7"/>
      <c r="B269" s="33"/>
    </row>
    <row r="270" spans="1:2" x14ac:dyDescent="0.25">
      <c r="A270" s="7"/>
      <c r="B270" s="33"/>
    </row>
    <row r="271" spans="1:2" x14ac:dyDescent="0.25">
      <c r="A271" s="7"/>
      <c r="B271" s="33"/>
    </row>
    <row r="272" spans="1:2" x14ac:dyDescent="0.25">
      <c r="A272" s="7"/>
      <c r="B272" s="33"/>
    </row>
    <row r="273" spans="1:2" x14ac:dyDescent="0.25">
      <c r="A273" s="7"/>
      <c r="B273" s="33"/>
    </row>
    <row r="274" spans="1:2" x14ac:dyDescent="0.25">
      <c r="A274" s="7"/>
      <c r="B274" s="33"/>
    </row>
    <row r="275" spans="1:2" x14ac:dyDescent="0.25">
      <c r="A275" s="7"/>
      <c r="B275" s="33"/>
    </row>
    <row r="276" spans="1:2" x14ac:dyDescent="0.25">
      <c r="A276" s="7"/>
      <c r="B276" s="33"/>
    </row>
    <row r="277" spans="1:2" x14ac:dyDescent="0.25">
      <c r="A277" s="7"/>
      <c r="B277" s="33"/>
    </row>
    <row r="278" spans="1:2" x14ac:dyDescent="0.25">
      <c r="A278" s="7"/>
      <c r="B278" s="33"/>
    </row>
    <row r="279" spans="1:2" x14ac:dyDescent="0.25">
      <c r="A279" s="7"/>
      <c r="B279" s="33"/>
    </row>
    <row r="280" spans="1:2" x14ac:dyDescent="0.25">
      <c r="A280" s="7"/>
      <c r="B280" s="33"/>
    </row>
    <row r="281" spans="1:2" x14ac:dyDescent="0.25">
      <c r="A281" s="7"/>
      <c r="B281" s="33"/>
    </row>
    <row r="282" spans="1:2" x14ac:dyDescent="0.25">
      <c r="A282" s="7"/>
      <c r="B282" s="33"/>
    </row>
    <row r="283" spans="1:2" x14ac:dyDescent="0.25">
      <c r="A283" s="7"/>
      <c r="B283" s="33"/>
    </row>
    <row r="284" spans="1:2" x14ac:dyDescent="0.25">
      <c r="A284" s="7"/>
      <c r="B284" s="33"/>
    </row>
  </sheetData>
  <sortState xmlns:xlrd2="http://schemas.microsoft.com/office/spreadsheetml/2017/richdata2" ref="A284:I284">
    <sortCondition descending="1" ref="B1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6"/>
  <dimension ref="A1:B2"/>
  <sheetViews>
    <sheetView showGridLines="0" workbookViewId="0">
      <selection sqref="A1:B2"/>
    </sheetView>
  </sheetViews>
  <sheetFormatPr defaultRowHeight="15" x14ac:dyDescent="0.25"/>
  <cols>
    <col min="1" max="1" width="14.42578125" style="58" customWidth="1"/>
    <col min="2" max="2" width="9" style="13"/>
  </cols>
  <sheetData>
    <row r="1" spans="1:2" x14ac:dyDescent="0.25">
      <c r="A1" s="56" t="s">
        <v>8</v>
      </c>
      <c r="B1" s="13" t="s">
        <v>120</v>
      </c>
    </row>
    <row r="2" spans="1:2" x14ac:dyDescent="0.25">
      <c r="A2" s="58" t="s">
        <v>134</v>
      </c>
      <c r="B2" s="13">
        <v>0</v>
      </c>
    </row>
  </sheetData>
  <sortState xmlns:xlrd2="http://schemas.microsoft.com/office/spreadsheetml/2017/richdata2" ref="A2:B2">
    <sortCondition descending="1" ref="B1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8"/>
  <dimension ref="A1:K65"/>
  <sheetViews>
    <sheetView showGridLines="0" workbookViewId="0">
      <selection activeCell="A2" sqref="A2:XFD3"/>
    </sheetView>
  </sheetViews>
  <sheetFormatPr defaultRowHeight="15" x14ac:dyDescent="0.25"/>
  <cols>
    <col min="1" max="3" width="13.42578125" style="47" customWidth="1"/>
    <col min="4" max="4" width="13.42578125" style="20" customWidth="1"/>
    <col min="5" max="5" width="13.42578125" style="65" customWidth="1"/>
    <col min="6" max="6" width="13.42578125" style="61" customWidth="1"/>
    <col min="7" max="8" width="13.42578125" style="68" customWidth="1"/>
    <col min="9" max="9" width="13.42578125" style="66" customWidth="1"/>
    <col min="10" max="10" width="13.42578125" style="47" customWidth="1"/>
  </cols>
  <sheetData>
    <row r="1" spans="1:11" ht="20.25" customHeight="1" x14ac:dyDescent="0.25">
      <c r="A1" s="49" t="s">
        <v>22</v>
      </c>
      <c r="B1" s="49" t="s">
        <v>63</v>
      </c>
      <c r="C1" s="49" t="s">
        <v>28</v>
      </c>
      <c r="D1" s="49" t="s">
        <v>96</v>
      </c>
      <c r="E1" s="62" t="s">
        <v>38</v>
      </c>
      <c r="F1" s="69" t="s">
        <v>97</v>
      </c>
      <c r="G1" s="64" t="s">
        <v>114</v>
      </c>
      <c r="H1" s="64" t="s">
        <v>65</v>
      </c>
      <c r="I1" s="63" t="s">
        <v>34</v>
      </c>
      <c r="J1" s="49" t="s">
        <v>26</v>
      </c>
      <c r="K1" s="49" t="s">
        <v>62</v>
      </c>
    </row>
    <row r="2" spans="1:11" x14ac:dyDescent="0.25">
      <c r="A2" s="45"/>
      <c r="B2" s="46"/>
      <c r="G2" s="67"/>
      <c r="H2" s="67"/>
      <c r="J2" s="48"/>
    </row>
    <row r="3" spans="1:11" x14ac:dyDescent="0.25">
      <c r="A3" s="45"/>
      <c r="B3" s="46"/>
      <c r="G3" s="67"/>
      <c r="H3" s="67"/>
      <c r="J3" s="48"/>
    </row>
    <row r="4" spans="1:11" x14ac:dyDescent="0.25">
      <c r="A4" s="45"/>
      <c r="B4" s="46"/>
      <c r="G4" s="67"/>
      <c r="H4" s="67"/>
      <c r="J4" s="48"/>
    </row>
    <row r="5" spans="1:11" x14ac:dyDescent="0.25">
      <c r="A5" s="45"/>
      <c r="B5" s="46"/>
      <c r="G5" s="67"/>
      <c r="H5" s="67"/>
      <c r="J5" s="48"/>
    </row>
    <row r="6" spans="1:11" x14ac:dyDescent="0.25">
      <c r="A6" s="45"/>
      <c r="B6" s="46"/>
      <c r="G6" s="67"/>
      <c r="H6" s="67"/>
      <c r="J6" s="48"/>
    </row>
    <row r="7" spans="1:11" x14ac:dyDescent="0.25">
      <c r="A7" s="45"/>
      <c r="B7" s="46"/>
      <c r="G7" s="67"/>
      <c r="H7" s="67"/>
    </row>
    <row r="8" spans="1:11" x14ac:dyDescent="0.25">
      <c r="A8" s="45"/>
      <c r="B8" s="46"/>
      <c r="G8" s="67"/>
    </row>
    <row r="9" spans="1:11" x14ac:dyDescent="0.25">
      <c r="A9" s="45"/>
      <c r="B9" s="46"/>
      <c r="G9" s="67"/>
      <c r="H9" s="67"/>
      <c r="J9" s="48"/>
    </row>
    <row r="10" spans="1:11" x14ac:dyDescent="0.25">
      <c r="A10" s="45"/>
      <c r="B10" s="46"/>
      <c r="G10" s="67"/>
      <c r="H10" s="67"/>
      <c r="J10" s="48"/>
    </row>
    <row r="11" spans="1:11" x14ac:dyDescent="0.25">
      <c r="A11" s="45"/>
      <c r="B11" s="46"/>
      <c r="G11" s="67"/>
      <c r="H11" s="67"/>
      <c r="J11" s="48"/>
      <c r="K11" s="21"/>
    </row>
    <row r="12" spans="1:11" x14ac:dyDescent="0.25">
      <c r="A12" s="45"/>
      <c r="B12" s="46"/>
      <c r="G12" s="67"/>
    </row>
    <row r="13" spans="1:11" x14ac:dyDescent="0.25">
      <c r="A13" s="45"/>
      <c r="B13" s="46"/>
      <c r="G13" s="67"/>
      <c r="H13" s="67"/>
      <c r="J13" s="48"/>
      <c r="K13" s="21"/>
    </row>
    <row r="14" spans="1:11" x14ac:dyDescent="0.25">
      <c r="A14" s="45"/>
      <c r="B14" s="46"/>
      <c r="G14" s="67"/>
      <c r="H14" s="67"/>
      <c r="J14" s="48"/>
      <c r="K14" s="21"/>
    </row>
    <row r="15" spans="1:11" x14ac:dyDescent="0.25">
      <c r="A15" s="45"/>
      <c r="B15" s="46"/>
      <c r="G15" s="67"/>
      <c r="H15" s="67"/>
      <c r="J15" s="21"/>
    </row>
    <row r="16" spans="1:11" x14ac:dyDescent="0.25">
      <c r="A16" s="45"/>
      <c r="B16" s="46"/>
      <c r="G16" s="67"/>
      <c r="H16" s="67"/>
      <c r="J16" s="21"/>
      <c r="K16" s="21"/>
    </row>
    <row r="17" spans="1:11" x14ac:dyDescent="0.25">
      <c r="A17" s="45"/>
      <c r="B17" s="46"/>
      <c r="G17" s="67"/>
      <c r="J17" s="48"/>
    </row>
    <row r="18" spans="1:11" x14ac:dyDescent="0.25">
      <c r="A18" s="45"/>
      <c r="B18" s="46"/>
      <c r="G18" s="67"/>
      <c r="H18" s="67"/>
      <c r="J18" s="48"/>
    </row>
    <row r="19" spans="1:11" x14ac:dyDescent="0.25">
      <c r="A19" s="45"/>
      <c r="B19" s="46"/>
      <c r="G19" s="67"/>
      <c r="H19" s="67"/>
    </row>
    <row r="20" spans="1:11" x14ac:dyDescent="0.25">
      <c r="A20" s="45"/>
      <c r="B20" s="46"/>
      <c r="G20" s="67"/>
      <c r="H20" s="67"/>
      <c r="J20" s="21"/>
      <c r="K20" s="21"/>
    </row>
    <row r="21" spans="1:11" x14ac:dyDescent="0.25">
      <c r="A21" s="45"/>
      <c r="B21" s="46"/>
      <c r="G21" s="67"/>
      <c r="H21" s="67"/>
      <c r="J21" s="48"/>
    </row>
    <row r="22" spans="1:11" x14ac:dyDescent="0.25">
      <c r="A22" s="45"/>
      <c r="B22" s="46"/>
      <c r="G22" s="67"/>
      <c r="J22" s="48"/>
    </row>
    <row r="23" spans="1:11" x14ac:dyDescent="0.25">
      <c r="A23" s="45"/>
      <c r="B23" s="46"/>
      <c r="G23" s="67"/>
      <c r="H23" s="67"/>
      <c r="J23" s="48"/>
    </row>
    <row r="24" spans="1:11" x14ac:dyDescent="0.25">
      <c r="A24" s="45"/>
      <c r="B24" s="46"/>
      <c r="G24" s="67"/>
      <c r="H24" s="67"/>
    </row>
    <row r="25" spans="1:11" x14ac:dyDescent="0.25">
      <c r="A25" s="45"/>
      <c r="B25" s="46"/>
      <c r="G25" s="67"/>
      <c r="J25" s="48"/>
    </row>
    <row r="26" spans="1:11" x14ac:dyDescent="0.25">
      <c r="A26" s="45"/>
      <c r="B26" s="46"/>
      <c r="G26" s="67"/>
      <c r="H26" s="67"/>
      <c r="J26" s="48"/>
    </row>
    <row r="27" spans="1:11" x14ac:dyDescent="0.25">
      <c r="A27" s="45"/>
      <c r="B27" s="46"/>
      <c r="G27" s="67"/>
      <c r="H27" s="67"/>
      <c r="J27" s="48"/>
    </row>
    <row r="28" spans="1:11" x14ac:dyDescent="0.25">
      <c r="A28" s="45"/>
      <c r="B28" s="46"/>
      <c r="G28" s="67"/>
      <c r="H28" s="67"/>
      <c r="J28" s="48"/>
      <c r="K28" s="21"/>
    </row>
    <row r="29" spans="1:11" x14ac:dyDescent="0.25">
      <c r="A29" s="45"/>
      <c r="B29" s="46"/>
      <c r="G29" s="67"/>
      <c r="J29" s="48"/>
    </row>
    <row r="30" spans="1:11" x14ac:dyDescent="0.25">
      <c r="A30" s="45"/>
      <c r="B30" s="46"/>
      <c r="G30" s="67"/>
      <c r="H30" s="67"/>
      <c r="K30" s="21"/>
    </row>
    <row r="31" spans="1:11" x14ac:dyDescent="0.25">
      <c r="A31" s="45"/>
      <c r="B31" s="46"/>
      <c r="G31" s="67"/>
      <c r="J31" s="48"/>
    </row>
    <row r="32" spans="1:11" x14ac:dyDescent="0.25">
      <c r="A32" s="45"/>
      <c r="B32" s="46"/>
      <c r="G32" s="67"/>
      <c r="H32" s="67"/>
      <c r="K32" s="21"/>
    </row>
    <row r="33" spans="1:11" x14ac:dyDescent="0.25">
      <c r="A33" s="45"/>
      <c r="B33" s="46"/>
      <c r="G33" s="67"/>
      <c r="H33" s="67"/>
      <c r="J33" s="48"/>
    </row>
    <row r="34" spans="1:11" x14ac:dyDescent="0.25">
      <c r="A34" s="45"/>
      <c r="B34" s="46"/>
      <c r="G34" s="67"/>
      <c r="H34" s="67"/>
      <c r="K34" s="21"/>
    </row>
    <row r="35" spans="1:11" x14ac:dyDescent="0.25">
      <c r="A35" s="45"/>
      <c r="B35" s="46"/>
      <c r="G35" s="67"/>
      <c r="H35" s="67"/>
      <c r="J35" s="48"/>
      <c r="K35" s="21"/>
    </row>
    <row r="36" spans="1:11" x14ac:dyDescent="0.25">
      <c r="A36" s="45"/>
      <c r="B36" s="46"/>
      <c r="G36" s="67"/>
      <c r="H36" s="67"/>
      <c r="J36" s="48"/>
    </row>
    <row r="37" spans="1:11" x14ac:dyDescent="0.25">
      <c r="A37" s="45"/>
      <c r="B37" s="46"/>
      <c r="G37" s="67"/>
      <c r="H37" s="67"/>
      <c r="J37" s="48"/>
      <c r="K37" s="21"/>
    </row>
    <row r="38" spans="1:11" x14ac:dyDescent="0.25">
      <c r="A38" s="45"/>
      <c r="B38" s="46"/>
      <c r="G38" s="67"/>
      <c r="H38" s="67"/>
      <c r="K38" s="21"/>
    </row>
    <row r="39" spans="1:11" x14ac:dyDescent="0.25">
      <c r="A39" s="45"/>
      <c r="B39" s="46"/>
      <c r="G39" s="67"/>
      <c r="H39" s="67"/>
      <c r="J39" s="48"/>
      <c r="K39" s="21"/>
    </row>
    <row r="40" spans="1:11" x14ac:dyDescent="0.25">
      <c r="A40" s="45"/>
      <c r="B40" s="46"/>
      <c r="G40" s="67"/>
      <c r="H40" s="67"/>
      <c r="J40" s="48"/>
    </row>
    <row r="41" spans="1:11" x14ac:dyDescent="0.25">
      <c r="A41" s="45"/>
      <c r="B41" s="46"/>
      <c r="G41" s="67"/>
    </row>
    <row r="42" spans="1:11" x14ac:dyDescent="0.25">
      <c r="A42" s="45"/>
      <c r="B42" s="46"/>
      <c r="G42" s="67"/>
      <c r="H42" s="67"/>
    </row>
    <row r="43" spans="1:11" x14ac:dyDescent="0.25">
      <c r="A43" s="45"/>
      <c r="B43" s="46"/>
      <c r="G43" s="67"/>
    </row>
    <row r="44" spans="1:11" x14ac:dyDescent="0.25">
      <c r="A44" s="45"/>
      <c r="B44" s="46"/>
      <c r="G44" s="67"/>
    </row>
    <row r="45" spans="1:11" x14ac:dyDescent="0.25">
      <c r="A45" s="45"/>
      <c r="B45" s="46"/>
      <c r="G45" s="67"/>
      <c r="H45" s="67"/>
      <c r="K45" s="21"/>
    </row>
    <row r="46" spans="1:11" x14ac:dyDescent="0.25">
      <c r="A46" s="45"/>
      <c r="B46" s="46"/>
      <c r="G46" s="67"/>
      <c r="H46" s="67"/>
      <c r="K46" s="21"/>
    </row>
    <row r="47" spans="1:11" x14ac:dyDescent="0.25">
      <c r="A47" s="45"/>
      <c r="B47" s="46"/>
      <c r="G47" s="67"/>
      <c r="H47" s="67"/>
      <c r="K47" s="21"/>
    </row>
    <row r="48" spans="1:11" x14ac:dyDescent="0.25">
      <c r="A48" s="45"/>
      <c r="B48" s="46"/>
      <c r="G48" s="67"/>
      <c r="H48" s="67"/>
      <c r="K48" s="21"/>
    </row>
    <row r="49" spans="1:11" x14ac:dyDescent="0.25">
      <c r="A49" s="45"/>
      <c r="B49" s="46"/>
      <c r="G49" s="67"/>
      <c r="H49" s="67"/>
    </row>
    <row r="50" spans="1:11" x14ac:dyDescent="0.25">
      <c r="A50" s="45"/>
      <c r="B50" s="46"/>
      <c r="G50" s="67"/>
      <c r="H50" s="67"/>
      <c r="K50" s="21"/>
    </row>
    <row r="51" spans="1:11" x14ac:dyDescent="0.25">
      <c r="A51" s="45"/>
      <c r="B51" s="46"/>
      <c r="G51" s="67"/>
      <c r="H51" s="67"/>
      <c r="K51" s="21"/>
    </row>
    <row r="52" spans="1:11" x14ac:dyDescent="0.25">
      <c r="A52" s="45"/>
      <c r="B52" s="46"/>
      <c r="G52" s="67"/>
      <c r="H52" s="67"/>
    </row>
    <row r="53" spans="1:11" x14ac:dyDescent="0.25">
      <c r="A53" s="45"/>
      <c r="B53" s="46"/>
      <c r="G53" s="67"/>
      <c r="H53" s="67"/>
      <c r="K53" s="21"/>
    </row>
    <row r="54" spans="1:11" x14ac:dyDescent="0.25">
      <c r="A54" s="45"/>
      <c r="B54" s="46"/>
      <c r="G54" s="67"/>
      <c r="H54" s="67"/>
      <c r="K54" s="21"/>
    </row>
    <row r="55" spans="1:11" x14ac:dyDescent="0.25">
      <c r="A55" s="45"/>
      <c r="B55" s="46"/>
      <c r="G55" s="67"/>
      <c r="H55" s="67"/>
    </row>
    <row r="56" spans="1:11" x14ac:dyDescent="0.25">
      <c r="A56" s="45"/>
      <c r="B56" s="46"/>
      <c r="G56" s="67"/>
      <c r="H56" s="67"/>
      <c r="K56" s="21"/>
    </row>
    <row r="57" spans="1:11" x14ac:dyDescent="0.25">
      <c r="A57" s="45"/>
      <c r="B57" s="46"/>
      <c r="G57" s="67"/>
      <c r="H57" s="67"/>
      <c r="J57" s="48"/>
    </row>
    <row r="58" spans="1:11" x14ac:dyDescent="0.25">
      <c r="A58" s="45"/>
      <c r="B58" s="46"/>
      <c r="G58" s="67"/>
      <c r="H58" s="67"/>
      <c r="K58" s="21"/>
    </row>
    <row r="59" spans="1:11" x14ac:dyDescent="0.25">
      <c r="A59" s="45"/>
      <c r="B59" s="46"/>
      <c r="H59" s="67"/>
    </row>
    <row r="60" spans="1:11" x14ac:dyDescent="0.25">
      <c r="A60" s="45"/>
      <c r="B60" s="46"/>
      <c r="G60" s="67"/>
      <c r="H60" s="67"/>
      <c r="J60" s="48"/>
    </row>
    <row r="61" spans="1:11" x14ac:dyDescent="0.25">
      <c r="A61" s="45"/>
      <c r="B61" s="46"/>
      <c r="G61" s="67"/>
      <c r="H61" s="67"/>
      <c r="K61" s="21"/>
    </row>
    <row r="62" spans="1:11" x14ac:dyDescent="0.25">
      <c r="A62" s="45"/>
      <c r="B62" s="46"/>
      <c r="G62" s="67"/>
    </row>
    <row r="63" spans="1:11" x14ac:dyDescent="0.25">
      <c r="A63" s="45"/>
      <c r="B63" s="46"/>
      <c r="G63" s="67"/>
      <c r="H63" s="67"/>
      <c r="J63" s="48"/>
    </row>
    <row r="64" spans="1:11" x14ac:dyDescent="0.25">
      <c r="A64" s="45"/>
      <c r="B64" s="46"/>
      <c r="G64" s="67"/>
      <c r="H64" s="67"/>
      <c r="J64" s="48"/>
      <c r="K64" s="21"/>
    </row>
    <row r="65" spans="1:10" x14ac:dyDescent="0.25">
      <c r="A65" s="45"/>
      <c r="B65" s="46"/>
      <c r="G65" s="67"/>
      <c r="H65" s="67"/>
      <c r="J65" s="48"/>
    </row>
  </sheetData>
  <sortState xmlns:xlrd2="http://schemas.microsoft.com/office/spreadsheetml/2017/richdata2" ref="A65:K65">
    <sortCondition descending="1" ref="A1"/>
  </sortState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4"/>
  <dimension ref="A1:H7"/>
  <sheetViews>
    <sheetView showGridLines="0" workbookViewId="0">
      <selection activeCell="F21" sqref="F21"/>
    </sheetView>
  </sheetViews>
  <sheetFormatPr defaultRowHeight="15" x14ac:dyDescent="0.25"/>
  <sheetData>
    <row r="1" spans="1:8" x14ac:dyDescent="0.25">
      <c r="A1" s="9" t="s">
        <v>35</v>
      </c>
      <c r="B1" s="9" t="s">
        <v>28</v>
      </c>
      <c r="C1" s="9" t="s">
        <v>36</v>
      </c>
      <c r="D1" s="9" t="s">
        <v>24</v>
      </c>
      <c r="E1" s="9" t="s">
        <v>29</v>
      </c>
      <c r="F1" s="9" t="s">
        <v>34</v>
      </c>
      <c r="G1" s="9" t="s">
        <v>37</v>
      </c>
      <c r="H1" s="9" t="s">
        <v>22</v>
      </c>
    </row>
    <row r="2" spans="1:8" x14ac:dyDescent="0.25">
      <c r="E2" s="21"/>
      <c r="H2" s="7"/>
    </row>
    <row r="3" spans="1:8" x14ac:dyDescent="0.25">
      <c r="E3" s="21"/>
      <c r="H3" s="7"/>
    </row>
    <row r="4" spans="1:8" x14ac:dyDescent="0.25">
      <c r="E4" s="21"/>
      <c r="H4" s="7"/>
    </row>
    <row r="5" spans="1:8" x14ac:dyDescent="0.25">
      <c r="E5" s="21"/>
      <c r="H5" s="7"/>
    </row>
    <row r="6" spans="1:8" x14ac:dyDescent="0.25">
      <c r="E6" s="21"/>
      <c r="H6" s="7"/>
    </row>
    <row r="7" spans="1:8" x14ac:dyDescent="0.25">
      <c r="E7" s="21"/>
      <c r="H7" s="7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6"/>
  <dimension ref="A1"/>
  <sheetViews>
    <sheetView workbookViewId="0">
      <selection activeCell="M26" sqref="M26"/>
    </sheetView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2"/>
  <dimension ref="A1:I36"/>
  <sheetViews>
    <sheetView showGridLines="0" workbookViewId="0">
      <selection sqref="A1:I1"/>
    </sheetView>
  </sheetViews>
  <sheetFormatPr defaultRowHeight="15" x14ac:dyDescent="0.25"/>
  <cols>
    <col min="2" max="2" width="14.5703125" customWidth="1"/>
    <col min="3" max="3" width="11.7109375" customWidth="1"/>
    <col min="4" max="4" width="14" customWidth="1"/>
  </cols>
  <sheetData>
    <row r="1" spans="1:9" x14ac:dyDescent="0.25">
      <c r="A1" t="s">
        <v>22</v>
      </c>
      <c r="B1" t="s">
        <v>63</v>
      </c>
      <c r="C1" t="s">
        <v>122</v>
      </c>
      <c r="D1" t="s">
        <v>84</v>
      </c>
      <c r="E1" t="s">
        <v>64</v>
      </c>
      <c r="F1" t="s">
        <v>37</v>
      </c>
      <c r="G1" s="13" t="s">
        <v>119</v>
      </c>
      <c r="H1" t="s">
        <v>56</v>
      </c>
      <c r="I1" t="s">
        <v>121</v>
      </c>
    </row>
    <row r="2" spans="1:9" x14ac:dyDescent="0.25">
      <c r="A2" s="7"/>
      <c r="B2" s="82"/>
      <c r="G2" s="13"/>
      <c r="H2" s="21"/>
      <c r="I2" s="21"/>
    </row>
    <row r="3" spans="1:9" x14ac:dyDescent="0.25">
      <c r="A3" s="7"/>
      <c r="B3" s="82"/>
      <c r="G3" s="13"/>
      <c r="H3" s="21"/>
      <c r="I3" s="21"/>
    </row>
    <row r="4" spans="1:9" x14ac:dyDescent="0.25">
      <c r="A4" s="7"/>
      <c r="B4" s="82"/>
      <c r="G4" s="13"/>
      <c r="H4" s="21"/>
      <c r="I4" s="21"/>
    </row>
    <row r="5" spans="1:9" x14ac:dyDescent="0.25">
      <c r="A5" s="7"/>
      <c r="B5" s="82"/>
      <c r="G5" s="13"/>
      <c r="H5" s="21"/>
      <c r="I5" s="21"/>
    </row>
    <row r="6" spans="1:9" x14ac:dyDescent="0.25">
      <c r="A6" s="7"/>
      <c r="B6" s="82"/>
      <c r="G6" s="13"/>
      <c r="H6" s="21"/>
    </row>
    <row r="7" spans="1:9" x14ac:dyDescent="0.25">
      <c r="A7" s="7"/>
      <c r="B7" s="82"/>
      <c r="G7" s="13"/>
      <c r="H7" s="21"/>
    </row>
    <row r="8" spans="1:9" x14ac:dyDescent="0.25">
      <c r="A8" s="7"/>
      <c r="B8" s="82"/>
      <c r="G8" s="13"/>
      <c r="H8" s="21"/>
    </row>
    <row r="9" spans="1:9" x14ac:dyDescent="0.25">
      <c r="A9" s="7"/>
      <c r="B9" s="82"/>
      <c r="G9" s="13"/>
    </row>
    <row r="10" spans="1:9" x14ac:dyDescent="0.25">
      <c r="A10" s="7"/>
      <c r="B10" s="82"/>
      <c r="G10" s="13"/>
      <c r="H10" s="21"/>
    </row>
    <row r="11" spans="1:9" x14ac:dyDescent="0.25">
      <c r="A11" s="7"/>
      <c r="B11" s="82"/>
      <c r="G11" s="13"/>
      <c r="H11" s="21"/>
    </row>
    <row r="12" spans="1:9" x14ac:dyDescent="0.25">
      <c r="A12" s="7"/>
      <c r="B12" s="82"/>
      <c r="G12" s="13"/>
      <c r="H12" s="21"/>
    </row>
    <row r="13" spans="1:9" x14ac:dyDescent="0.25">
      <c r="A13" s="7"/>
      <c r="B13" s="82"/>
      <c r="G13" s="13"/>
      <c r="H13" s="21"/>
    </row>
    <row r="14" spans="1:9" x14ac:dyDescent="0.25">
      <c r="A14" s="7"/>
      <c r="B14" s="82"/>
      <c r="G14" s="13"/>
      <c r="H14" s="21"/>
    </row>
    <row r="15" spans="1:9" x14ac:dyDescent="0.25">
      <c r="A15" s="7"/>
      <c r="B15" s="82"/>
      <c r="G15" s="13"/>
      <c r="H15" s="21"/>
    </row>
    <row r="16" spans="1:9" x14ac:dyDescent="0.25">
      <c r="A16" s="7"/>
      <c r="B16" s="82"/>
      <c r="G16" s="13"/>
      <c r="H16" s="21"/>
    </row>
    <row r="17" spans="1:8" x14ac:dyDescent="0.25">
      <c r="A17" s="7"/>
      <c r="B17" s="82"/>
      <c r="G17" s="13"/>
      <c r="H17" s="21"/>
    </row>
    <row r="18" spans="1:8" x14ac:dyDescent="0.25">
      <c r="A18" s="7"/>
      <c r="B18" s="82"/>
      <c r="G18" s="13"/>
      <c r="H18" s="21"/>
    </row>
    <row r="19" spans="1:8" x14ac:dyDescent="0.25">
      <c r="A19" s="7"/>
      <c r="B19" s="82"/>
      <c r="G19" s="13"/>
      <c r="H19" s="21"/>
    </row>
    <row r="20" spans="1:8" x14ac:dyDescent="0.25">
      <c r="A20" s="7"/>
      <c r="B20" s="82"/>
      <c r="G20" s="13"/>
      <c r="H20" s="21"/>
    </row>
    <row r="21" spans="1:8" x14ac:dyDescent="0.25">
      <c r="A21" s="7"/>
      <c r="B21" s="82"/>
      <c r="G21" s="13"/>
      <c r="H21" s="21"/>
    </row>
    <row r="22" spans="1:8" x14ac:dyDescent="0.25">
      <c r="A22" s="7"/>
      <c r="B22" s="82"/>
      <c r="G22" s="13"/>
    </row>
    <row r="23" spans="1:8" x14ac:dyDescent="0.25">
      <c r="A23" s="7"/>
      <c r="B23" s="82"/>
      <c r="G23" s="13"/>
    </row>
    <row r="24" spans="1:8" x14ac:dyDescent="0.25">
      <c r="A24" s="7"/>
      <c r="B24" s="82"/>
      <c r="G24" s="13"/>
    </row>
    <row r="25" spans="1:8" x14ac:dyDescent="0.25">
      <c r="A25" s="7"/>
      <c r="B25" s="82"/>
      <c r="G25" s="13"/>
      <c r="H25" s="21"/>
    </row>
    <row r="26" spans="1:8" x14ac:dyDescent="0.25">
      <c r="A26" s="7"/>
      <c r="B26" s="82"/>
      <c r="G26" s="13"/>
    </row>
    <row r="27" spans="1:8" x14ac:dyDescent="0.25">
      <c r="A27" s="7"/>
      <c r="B27" s="82"/>
      <c r="G27" s="13"/>
    </row>
    <row r="28" spans="1:8" x14ac:dyDescent="0.25">
      <c r="A28" s="7"/>
      <c r="B28" s="82"/>
      <c r="G28" s="13"/>
    </row>
    <row r="29" spans="1:8" x14ac:dyDescent="0.25">
      <c r="A29" s="7"/>
      <c r="B29" s="82"/>
      <c r="G29" s="13"/>
    </row>
    <row r="30" spans="1:8" x14ac:dyDescent="0.25">
      <c r="A30" s="7"/>
      <c r="B30" s="82"/>
      <c r="G30" s="13"/>
    </row>
    <row r="31" spans="1:8" x14ac:dyDescent="0.25">
      <c r="A31" s="7"/>
      <c r="B31" s="82"/>
      <c r="G31" s="13"/>
    </row>
    <row r="32" spans="1:8" x14ac:dyDescent="0.25">
      <c r="A32" s="7"/>
      <c r="B32" s="82"/>
      <c r="G32" s="13"/>
    </row>
    <row r="33" spans="1:7" x14ac:dyDescent="0.25">
      <c r="A33" s="7"/>
      <c r="B33" s="82"/>
      <c r="G33" s="13"/>
    </row>
    <row r="34" spans="1:7" x14ac:dyDescent="0.25">
      <c r="A34" s="7"/>
      <c r="B34" s="82"/>
      <c r="G34" s="13"/>
    </row>
    <row r="35" spans="1:7" x14ac:dyDescent="0.25">
      <c r="A35" s="7"/>
      <c r="B35" s="82"/>
      <c r="G35" s="13"/>
    </row>
    <row r="36" spans="1:7" x14ac:dyDescent="0.25">
      <c r="A36" s="7"/>
      <c r="B36" s="82"/>
      <c r="G36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2"/>
  <dimension ref="A1:K65"/>
  <sheetViews>
    <sheetView showGridLines="0" workbookViewId="0">
      <selection sqref="A1:K1"/>
    </sheetView>
  </sheetViews>
  <sheetFormatPr defaultRowHeight="15" x14ac:dyDescent="0.25"/>
  <cols>
    <col min="1" max="1" width="15.28515625" style="75" customWidth="1"/>
    <col min="2" max="2" width="15.28515625" style="77" customWidth="1"/>
    <col min="3" max="5" width="15.28515625" customWidth="1"/>
    <col min="6" max="6" width="15.28515625" style="34" customWidth="1"/>
    <col min="7" max="7" width="15.28515625" style="37" customWidth="1"/>
    <col min="8" max="8" width="12.7109375" style="37" customWidth="1"/>
    <col min="9" max="9" width="15.28515625" style="81" customWidth="1"/>
    <col min="10" max="11" width="15.28515625" style="37" customWidth="1"/>
  </cols>
  <sheetData>
    <row r="1" spans="1:11" x14ac:dyDescent="0.25">
      <c r="A1" s="64" t="s">
        <v>22</v>
      </c>
      <c r="B1" s="64" t="s">
        <v>63</v>
      </c>
      <c r="C1" s="49" t="s">
        <v>28</v>
      </c>
      <c r="D1" s="49" t="s">
        <v>96</v>
      </c>
      <c r="E1" s="62" t="s">
        <v>38</v>
      </c>
      <c r="F1" s="69" t="s">
        <v>97</v>
      </c>
      <c r="G1" s="79" t="s">
        <v>114</v>
      </c>
      <c r="H1" s="79" t="s">
        <v>65</v>
      </c>
      <c r="I1" s="69" t="s">
        <v>34</v>
      </c>
      <c r="J1" s="79" t="s">
        <v>26</v>
      </c>
      <c r="K1" s="79" t="s">
        <v>62</v>
      </c>
    </row>
    <row r="2" spans="1:11" x14ac:dyDescent="0.25">
      <c r="A2" s="74"/>
      <c r="B2" s="76"/>
      <c r="E2" s="73"/>
      <c r="F2" s="78"/>
      <c r="G2" s="41"/>
      <c r="H2" s="41"/>
      <c r="I2" s="80"/>
      <c r="J2" s="41"/>
    </row>
    <row r="3" spans="1:11" x14ac:dyDescent="0.25">
      <c r="A3" s="74"/>
      <c r="B3" s="76"/>
      <c r="E3" s="73"/>
      <c r="F3" s="78"/>
      <c r="G3" s="41"/>
      <c r="H3" s="41"/>
      <c r="I3" s="80"/>
      <c r="J3" s="41"/>
    </row>
    <row r="4" spans="1:11" x14ac:dyDescent="0.25">
      <c r="A4" s="74"/>
      <c r="B4" s="76"/>
      <c r="E4" s="73"/>
      <c r="F4" s="78"/>
      <c r="G4" s="41"/>
      <c r="H4" s="41"/>
      <c r="I4" s="80"/>
      <c r="J4" s="41"/>
    </row>
    <row r="5" spans="1:11" x14ac:dyDescent="0.25">
      <c r="A5" s="74"/>
      <c r="B5" s="76"/>
      <c r="E5" s="73"/>
      <c r="F5" s="78"/>
      <c r="G5" s="41"/>
      <c r="H5" s="41"/>
      <c r="I5" s="80"/>
      <c r="J5" s="41"/>
    </row>
    <row r="6" spans="1:11" x14ac:dyDescent="0.25">
      <c r="A6" s="74"/>
      <c r="B6" s="76"/>
      <c r="E6" s="73"/>
      <c r="F6" s="78"/>
      <c r="G6" s="41"/>
      <c r="H6" s="41"/>
      <c r="I6" s="80"/>
      <c r="J6" s="41"/>
    </row>
    <row r="7" spans="1:11" x14ac:dyDescent="0.25">
      <c r="A7" s="74"/>
      <c r="B7" s="76"/>
      <c r="E7" s="73"/>
      <c r="F7" s="78"/>
      <c r="G7" s="41"/>
      <c r="H7" s="41"/>
      <c r="I7" s="80"/>
    </row>
    <row r="8" spans="1:11" x14ac:dyDescent="0.25">
      <c r="A8" s="74"/>
      <c r="B8" s="76"/>
      <c r="E8" s="73"/>
      <c r="F8" s="78"/>
      <c r="G8" s="41"/>
      <c r="I8" s="80"/>
    </row>
    <row r="9" spans="1:11" x14ac:dyDescent="0.25">
      <c r="A9" s="74"/>
      <c r="B9" s="76"/>
      <c r="E9" s="73"/>
      <c r="F9" s="78"/>
      <c r="G9" s="41"/>
      <c r="H9" s="41"/>
      <c r="I9" s="80"/>
      <c r="J9" s="41"/>
    </row>
    <row r="10" spans="1:11" x14ac:dyDescent="0.25">
      <c r="A10" s="74"/>
      <c r="B10" s="76"/>
      <c r="E10" s="73"/>
      <c r="F10" s="78"/>
      <c r="G10" s="41"/>
      <c r="H10" s="41"/>
      <c r="I10" s="80"/>
      <c r="J10" s="41"/>
    </row>
    <row r="11" spans="1:11" x14ac:dyDescent="0.25">
      <c r="A11" s="74"/>
      <c r="B11" s="76"/>
      <c r="E11" s="73"/>
      <c r="F11" s="78"/>
      <c r="G11" s="41"/>
      <c r="H11" s="41"/>
      <c r="I11" s="80"/>
      <c r="J11" s="41"/>
      <c r="K11" s="41"/>
    </row>
    <row r="12" spans="1:11" x14ac:dyDescent="0.25">
      <c r="A12" s="74"/>
      <c r="B12" s="76"/>
      <c r="E12" s="73"/>
      <c r="F12" s="78"/>
      <c r="G12" s="41"/>
      <c r="I12" s="80"/>
    </row>
    <row r="13" spans="1:11" x14ac:dyDescent="0.25">
      <c r="A13" s="74"/>
      <c r="B13" s="76"/>
      <c r="E13" s="73"/>
      <c r="F13" s="78"/>
      <c r="G13" s="41"/>
      <c r="H13" s="41"/>
      <c r="I13" s="80"/>
      <c r="J13" s="41"/>
      <c r="K13" s="41"/>
    </row>
    <row r="14" spans="1:11" x14ac:dyDescent="0.25">
      <c r="A14" s="74"/>
      <c r="B14" s="76"/>
      <c r="E14" s="73"/>
      <c r="F14" s="78"/>
      <c r="G14" s="41"/>
      <c r="H14" s="41"/>
      <c r="I14" s="80"/>
      <c r="J14" s="41"/>
      <c r="K14" s="41"/>
    </row>
    <row r="15" spans="1:11" x14ac:dyDescent="0.25">
      <c r="A15" s="74"/>
      <c r="B15" s="76"/>
      <c r="E15" s="73"/>
      <c r="F15" s="78"/>
      <c r="G15" s="41"/>
      <c r="H15" s="41"/>
      <c r="I15" s="80"/>
      <c r="J15" s="41"/>
    </row>
    <row r="16" spans="1:11" x14ac:dyDescent="0.25">
      <c r="A16" s="74"/>
      <c r="B16" s="76"/>
      <c r="E16" s="73"/>
      <c r="F16" s="78"/>
      <c r="G16" s="41"/>
      <c r="H16" s="41"/>
      <c r="I16" s="80"/>
      <c r="J16" s="41"/>
      <c r="K16" s="41"/>
    </row>
    <row r="17" spans="1:11" x14ac:dyDescent="0.25">
      <c r="A17" s="74"/>
      <c r="B17" s="76"/>
      <c r="E17" s="73"/>
      <c r="F17" s="78"/>
      <c r="G17" s="41"/>
      <c r="I17" s="80"/>
      <c r="J17" s="41"/>
    </row>
    <row r="18" spans="1:11" x14ac:dyDescent="0.25">
      <c r="A18" s="74"/>
      <c r="B18" s="76"/>
      <c r="E18" s="73"/>
      <c r="F18" s="78"/>
      <c r="G18" s="41"/>
      <c r="H18" s="41"/>
      <c r="I18" s="80"/>
      <c r="J18" s="41"/>
    </row>
    <row r="19" spans="1:11" x14ac:dyDescent="0.25">
      <c r="A19" s="74"/>
      <c r="B19" s="76"/>
      <c r="E19" s="73"/>
      <c r="F19" s="78"/>
      <c r="G19" s="41"/>
      <c r="H19" s="41"/>
      <c r="I19" s="80"/>
    </row>
    <row r="20" spans="1:11" x14ac:dyDescent="0.25">
      <c r="A20" s="74"/>
      <c r="B20" s="76"/>
      <c r="E20" s="73"/>
      <c r="F20" s="78"/>
      <c r="G20" s="41"/>
      <c r="H20" s="41"/>
      <c r="I20" s="80"/>
      <c r="J20" s="41"/>
      <c r="K20" s="41"/>
    </row>
    <row r="21" spans="1:11" x14ac:dyDescent="0.25">
      <c r="A21" s="74"/>
      <c r="B21" s="76"/>
      <c r="E21" s="73"/>
      <c r="F21" s="78"/>
      <c r="G21" s="41"/>
      <c r="H21" s="41"/>
      <c r="I21" s="80"/>
      <c r="J21" s="41"/>
    </row>
    <row r="22" spans="1:11" x14ac:dyDescent="0.25">
      <c r="A22" s="74"/>
      <c r="B22" s="76"/>
      <c r="E22" s="73"/>
      <c r="F22" s="78"/>
      <c r="G22" s="41"/>
      <c r="I22" s="80"/>
      <c r="J22" s="41"/>
    </row>
    <row r="23" spans="1:11" x14ac:dyDescent="0.25">
      <c r="A23" s="74"/>
      <c r="B23" s="76"/>
      <c r="E23" s="73"/>
      <c r="F23" s="78"/>
      <c r="G23" s="41"/>
      <c r="H23" s="41"/>
      <c r="I23" s="80"/>
      <c r="J23" s="41"/>
    </row>
    <row r="24" spans="1:11" x14ac:dyDescent="0.25">
      <c r="A24" s="74"/>
      <c r="B24" s="76"/>
      <c r="E24" s="73"/>
      <c r="F24" s="78"/>
      <c r="G24" s="41"/>
      <c r="H24" s="41"/>
      <c r="I24" s="80"/>
    </row>
    <row r="25" spans="1:11" x14ac:dyDescent="0.25">
      <c r="A25" s="74"/>
      <c r="B25" s="76"/>
      <c r="E25" s="73"/>
      <c r="F25" s="78"/>
      <c r="G25" s="41"/>
      <c r="I25" s="80"/>
      <c r="J25" s="41"/>
    </row>
    <row r="26" spans="1:11" x14ac:dyDescent="0.25">
      <c r="A26" s="74"/>
      <c r="B26" s="76"/>
      <c r="E26" s="73"/>
      <c r="F26" s="78"/>
      <c r="G26" s="41"/>
      <c r="H26" s="41"/>
      <c r="I26" s="80"/>
      <c r="J26" s="41"/>
    </row>
    <row r="27" spans="1:11" x14ac:dyDescent="0.25">
      <c r="A27" s="74"/>
      <c r="B27" s="76"/>
      <c r="E27" s="73"/>
      <c r="F27" s="78"/>
      <c r="G27" s="41"/>
      <c r="H27" s="41"/>
      <c r="I27" s="80"/>
      <c r="J27" s="41"/>
    </row>
    <row r="28" spans="1:11" x14ac:dyDescent="0.25">
      <c r="A28" s="74"/>
      <c r="B28" s="76"/>
      <c r="E28" s="73"/>
      <c r="F28" s="78"/>
      <c r="G28" s="41"/>
      <c r="H28" s="41"/>
      <c r="I28" s="80"/>
      <c r="J28" s="41"/>
      <c r="K28" s="41"/>
    </row>
    <row r="29" spans="1:11" x14ac:dyDescent="0.25">
      <c r="A29" s="74"/>
      <c r="B29" s="76"/>
      <c r="E29" s="73"/>
      <c r="F29" s="78"/>
      <c r="G29" s="41"/>
      <c r="I29" s="80"/>
      <c r="J29" s="41"/>
    </row>
    <row r="30" spans="1:11" x14ac:dyDescent="0.25">
      <c r="A30" s="74"/>
      <c r="B30" s="76"/>
      <c r="E30" s="73"/>
      <c r="F30" s="78"/>
      <c r="G30" s="41"/>
      <c r="H30" s="41"/>
      <c r="I30" s="80"/>
      <c r="K30" s="41"/>
    </row>
    <row r="31" spans="1:11" x14ac:dyDescent="0.25">
      <c r="A31" s="74"/>
      <c r="B31" s="76"/>
      <c r="E31" s="73"/>
      <c r="F31" s="78"/>
      <c r="G31" s="41"/>
      <c r="I31" s="80"/>
      <c r="J31" s="41"/>
    </row>
    <row r="32" spans="1:11" x14ac:dyDescent="0.25">
      <c r="A32" s="74"/>
      <c r="B32" s="76"/>
      <c r="E32" s="73"/>
      <c r="F32" s="78"/>
      <c r="G32" s="41"/>
      <c r="H32" s="41"/>
      <c r="I32" s="80"/>
      <c r="K32" s="41"/>
    </row>
    <row r="33" spans="1:11" x14ac:dyDescent="0.25">
      <c r="A33" s="74"/>
      <c r="B33" s="76"/>
      <c r="E33" s="73"/>
      <c r="F33" s="78"/>
      <c r="G33" s="41"/>
      <c r="H33" s="41"/>
      <c r="I33" s="80"/>
      <c r="J33" s="41"/>
    </row>
    <row r="34" spans="1:11" x14ac:dyDescent="0.25">
      <c r="A34" s="74"/>
      <c r="B34" s="76"/>
      <c r="E34" s="73"/>
      <c r="F34" s="78"/>
      <c r="G34" s="41"/>
      <c r="H34" s="41"/>
      <c r="I34" s="80"/>
      <c r="K34" s="41"/>
    </row>
    <row r="35" spans="1:11" x14ac:dyDescent="0.25">
      <c r="A35" s="74"/>
      <c r="B35" s="76"/>
      <c r="E35" s="73"/>
      <c r="F35" s="78"/>
      <c r="G35" s="41"/>
      <c r="H35" s="41"/>
      <c r="I35" s="80"/>
      <c r="J35" s="41"/>
      <c r="K35" s="41"/>
    </row>
    <row r="36" spans="1:11" x14ac:dyDescent="0.25">
      <c r="A36" s="74"/>
      <c r="B36" s="76"/>
      <c r="E36" s="73"/>
      <c r="F36" s="78"/>
      <c r="G36" s="41"/>
      <c r="H36" s="41"/>
      <c r="I36" s="80"/>
      <c r="J36" s="41"/>
    </row>
    <row r="37" spans="1:11" x14ac:dyDescent="0.25">
      <c r="A37" s="74"/>
      <c r="B37" s="76"/>
      <c r="E37" s="73"/>
      <c r="F37" s="78"/>
      <c r="G37" s="41"/>
      <c r="H37" s="41"/>
      <c r="I37" s="80"/>
      <c r="J37" s="41"/>
      <c r="K37" s="41"/>
    </row>
    <row r="38" spans="1:11" x14ac:dyDescent="0.25">
      <c r="A38" s="74"/>
      <c r="B38" s="76"/>
      <c r="E38" s="73"/>
      <c r="F38" s="78"/>
      <c r="G38" s="41"/>
      <c r="H38" s="41"/>
      <c r="I38" s="80"/>
      <c r="K38" s="41"/>
    </row>
    <row r="39" spans="1:11" x14ac:dyDescent="0.25">
      <c r="A39" s="74"/>
      <c r="B39" s="76"/>
      <c r="E39" s="73"/>
      <c r="F39" s="78"/>
      <c r="G39" s="41"/>
      <c r="H39" s="41"/>
      <c r="I39" s="80"/>
      <c r="J39" s="41"/>
      <c r="K39" s="41"/>
    </row>
    <row r="40" spans="1:11" x14ac:dyDescent="0.25">
      <c r="A40" s="74"/>
      <c r="B40" s="76"/>
      <c r="E40" s="73"/>
      <c r="F40" s="78"/>
      <c r="G40" s="41"/>
      <c r="H40" s="41"/>
      <c r="I40" s="80"/>
      <c r="J40" s="41"/>
    </row>
    <row r="41" spans="1:11" x14ac:dyDescent="0.25">
      <c r="A41" s="74"/>
      <c r="B41" s="76"/>
      <c r="E41" s="73"/>
      <c r="F41" s="78"/>
      <c r="G41" s="41"/>
      <c r="I41" s="80"/>
    </row>
    <row r="42" spans="1:11" x14ac:dyDescent="0.25">
      <c r="A42" s="74"/>
      <c r="B42" s="76"/>
      <c r="E42" s="73"/>
      <c r="F42" s="78"/>
      <c r="G42" s="41"/>
      <c r="H42" s="41"/>
      <c r="I42" s="80"/>
    </row>
    <row r="43" spans="1:11" x14ac:dyDescent="0.25">
      <c r="A43" s="74"/>
      <c r="B43" s="76"/>
      <c r="E43" s="73"/>
      <c r="F43" s="78"/>
      <c r="G43" s="41"/>
      <c r="I43" s="80"/>
    </row>
    <row r="44" spans="1:11" x14ac:dyDescent="0.25">
      <c r="A44" s="74"/>
      <c r="B44" s="76"/>
      <c r="E44" s="73"/>
      <c r="F44" s="78"/>
      <c r="G44" s="41"/>
      <c r="I44" s="80"/>
    </row>
    <row r="45" spans="1:11" x14ac:dyDescent="0.25">
      <c r="A45" s="74"/>
      <c r="B45" s="76"/>
      <c r="E45" s="73"/>
      <c r="F45" s="78"/>
      <c r="G45" s="41"/>
      <c r="H45" s="41"/>
      <c r="I45" s="80"/>
      <c r="K45" s="41"/>
    </row>
    <row r="46" spans="1:11" x14ac:dyDescent="0.25">
      <c r="A46" s="74"/>
      <c r="B46" s="76"/>
      <c r="E46" s="73"/>
      <c r="F46" s="78"/>
      <c r="G46" s="41"/>
      <c r="H46" s="41"/>
      <c r="I46" s="80"/>
      <c r="K46" s="41"/>
    </row>
    <row r="47" spans="1:11" x14ac:dyDescent="0.25">
      <c r="A47" s="74"/>
      <c r="B47" s="76"/>
      <c r="E47" s="73"/>
      <c r="F47" s="78"/>
      <c r="G47" s="41"/>
      <c r="H47" s="41"/>
      <c r="I47" s="80"/>
      <c r="K47" s="41"/>
    </row>
    <row r="48" spans="1:11" x14ac:dyDescent="0.25">
      <c r="A48" s="74"/>
      <c r="B48" s="76"/>
      <c r="E48" s="73"/>
      <c r="F48" s="78"/>
      <c r="G48" s="41"/>
      <c r="H48" s="41"/>
      <c r="I48" s="80"/>
      <c r="K48" s="41"/>
    </row>
    <row r="49" spans="1:11" x14ac:dyDescent="0.25">
      <c r="A49" s="74"/>
      <c r="B49" s="76"/>
      <c r="E49" s="73"/>
      <c r="F49" s="78"/>
      <c r="G49" s="41"/>
      <c r="H49" s="41"/>
      <c r="I49" s="80"/>
    </row>
    <row r="50" spans="1:11" x14ac:dyDescent="0.25">
      <c r="A50" s="74"/>
      <c r="B50" s="76"/>
      <c r="E50" s="73"/>
      <c r="F50" s="78"/>
      <c r="G50" s="41"/>
      <c r="H50" s="41"/>
      <c r="I50" s="80"/>
      <c r="K50" s="41"/>
    </row>
    <row r="51" spans="1:11" x14ac:dyDescent="0.25">
      <c r="A51" s="74"/>
      <c r="B51" s="76"/>
      <c r="E51" s="73"/>
      <c r="F51" s="78"/>
      <c r="G51" s="41"/>
      <c r="H51" s="41"/>
      <c r="I51" s="80"/>
      <c r="K51" s="41"/>
    </row>
    <row r="52" spans="1:11" x14ac:dyDescent="0.25">
      <c r="A52" s="74"/>
      <c r="B52" s="76"/>
      <c r="E52" s="73"/>
      <c r="F52" s="78"/>
      <c r="G52" s="41"/>
      <c r="H52" s="41"/>
      <c r="I52" s="80"/>
    </row>
    <row r="53" spans="1:11" x14ac:dyDescent="0.25">
      <c r="A53" s="74"/>
      <c r="B53" s="76"/>
      <c r="E53" s="73"/>
      <c r="F53" s="78"/>
      <c r="G53" s="41"/>
      <c r="H53" s="41"/>
      <c r="I53" s="80"/>
      <c r="K53" s="41"/>
    </row>
    <row r="54" spans="1:11" x14ac:dyDescent="0.25">
      <c r="A54" s="74"/>
      <c r="B54" s="76"/>
      <c r="E54" s="73"/>
      <c r="F54" s="78"/>
      <c r="G54" s="41"/>
      <c r="H54" s="41"/>
      <c r="I54" s="80"/>
      <c r="K54" s="41"/>
    </row>
    <row r="55" spans="1:11" x14ac:dyDescent="0.25">
      <c r="A55" s="74"/>
      <c r="B55" s="76"/>
      <c r="E55" s="73"/>
      <c r="F55" s="78"/>
      <c r="G55" s="41"/>
      <c r="H55" s="41"/>
      <c r="I55" s="80"/>
    </row>
    <row r="56" spans="1:11" x14ac:dyDescent="0.25">
      <c r="A56" s="74"/>
      <c r="B56" s="76"/>
      <c r="E56" s="73"/>
      <c r="F56" s="78"/>
      <c r="G56" s="41"/>
      <c r="H56" s="41"/>
      <c r="I56" s="80"/>
      <c r="K56" s="41"/>
    </row>
    <row r="57" spans="1:11" x14ac:dyDescent="0.25">
      <c r="A57" s="74"/>
      <c r="B57" s="76"/>
      <c r="E57" s="73"/>
      <c r="F57" s="78"/>
      <c r="G57" s="41"/>
      <c r="H57" s="41"/>
      <c r="I57" s="80"/>
      <c r="J57" s="41"/>
    </row>
    <row r="58" spans="1:11" x14ac:dyDescent="0.25">
      <c r="A58" s="74"/>
      <c r="B58" s="76"/>
      <c r="E58" s="73"/>
      <c r="F58" s="78"/>
      <c r="G58" s="41"/>
      <c r="H58" s="41"/>
      <c r="I58" s="80"/>
      <c r="K58" s="41"/>
    </row>
    <row r="59" spans="1:11" x14ac:dyDescent="0.25">
      <c r="A59" s="74"/>
      <c r="B59" s="76"/>
      <c r="E59" s="73"/>
      <c r="F59" s="78"/>
      <c r="H59" s="41"/>
      <c r="I59" s="80"/>
    </row>
    <row r="60" spans="1:11" x14ac:dyDescent="0.25">
      <c r="A60" s="74"/>
      <c r="B60" s="76"/>
      <c r="E60" s="73"/>
      <c r="F60" s="78"/>
      <c r="G60" s="41"/>
      <c r="H60" s="41"/>
      <c r="I60" s="80"/>
      <c r="J60" s="41"/>
    </row>
    <row r="61" spans="1:11" x14ac:dyDescent="0.25">
      <c r="A61" s="74"/>
      <c r="B61" s="76"/>
      <c r="E61" s="73"/>
      <c r="F61" s="78"/>
      <c r="G61" s="41"/>
      <c r="H61" s="41"/>
      <c r="I61" s="80"/>
      <c r="K61" s="41"/>
    </row>
    <row r="62" spans="1:11" x14ac:dyDescent="0.25">
      <c r="A62" s="74"/>
      <c r="B62" s="76"/>
      <c r="E62" s="73"/>
      <c r="F62" s="78"/>
      <c r="G62" s="41"/>
      <c r="I62" s="80"/>
    </row>
    <row r="63" spans="1:11" x14ac:dyDescent="0.25">
      <c r="A63" s="74"/>
      <c r="B63" s="76"/>
      <c r="E63" s="73"/>
      <c r="F63" s="78"/>
      <c r="G63" s="41"/>
      <c r="H63" s="41"/>
      <c r="I63" s="80"/>
      <c r="J63" s="41"/>
    </row>
    <row r="64" spans="1:11" x14ac:dyDescent="0.25">
      <c r="A64" s="74"/>
      <c r="B64" s="76"/>
      <c r="E64" s="73"/>
      <c r="F64" s="78"/>
      <c r="G64" s="41"/>
      <c r="H64" s="41"/>
      <c r="I64" s="80"/>
      <c r="J64" s="41"/>
      <c r="K64" s="41"/>
    </row>
    <row r="65" spans="1:10" x14ac:dyDescent="0.25">
      <c r="A65" s="74"/>
      <c r="B65" s="76"/>
      <c r="E65" s="73"/>
      <c r="F65" s="78"/>
      <c r="G65" s="41"/>
      <c r="H65" s="41"/>
      <c r="I65" s="80"/>
      <c r="J65" s="41"/>
    </row>
  </sheetData>
  <pageMargins left="0.7" right="0.7" top="0.75" bottom="0.75" header="0.3" footer="0.3"/>
  <legacyDrawing r:id="rId1"/>
</worksheet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Products</vt:lpstr>
      <vt:lpstr>Top_Customers</vt:lpstr>
      <vt:lpstr>Top_Suppliers</vt:lpstr>
      <vt:lpstr>Capital_labels</vt:lpstr>
      <vt:lpstr>Display_Expenses</vt:lpstr>
      <vt:lpstr>Reports</vt:lpstr>
      <vt:lpstr>stock_take</vt:lpstr>
      <vt:lpstr>Vendors</vt:lpstr>
      <vt:lpstr>Expenses</vt:lpstr>
      <vt:lpstr>Accounts</vt:lpstr>
      <vt:lpstr>Payment</vt:lpstr>
      <vt:lpstr>stock_take_show</vt:lpstr>
      <vt:lpstr>Stock_Report</vt:lpstr>
      <vt:lpstr>stock_display</vt:lpstr>
      <vt:lpstr>Customers</vt:lpstr>
      <vt:lpstr>Bussiness_Description</vt:lpstr>
      <vt:lpstr>Add_Service</vt:lpstr>
      <vt:lpstr>Transfers</vt:lpstr>
      <vt:lpstr>Customer_Balance</vt:lpstr>
      <vt:lpstr>CustmBal_Display</vt:lpstr>
      <vt:lpstr>Vendor_Balance</vt:lpstr>
      <vt:lpstr>vndaBal_Display</vt:lpstr>
      <vt:lpstr>Display_Transfers</vt:lpstr>
      <vt:lpstr>Acc_Balances</vt:lpstr>
      <vt:lpstr>invoice</vt:lpstr>
      <vt:lpstr>Home</vt:lpstr>
      <vt:lpstr>Capital-Report</vt:lpstr>
      <vt:lpstr>Profit-Report</vt:lpstr>
      <vt:lpstr>Users</vt:lpstr>
      <vt:lpstr>Search_Product</vt:lpstr>
      <vt:lpstr>Sales</vt:lpstr>
      <vt:lpstr>most_items</vt:lpstr>
      <vt:lpstr>Database</vt:lpstr>
      <vt:lpstr>Display_Payments</vt:lpstr>
      <vt:lpstr>Show_acc_balance</vt:lpstr>
      <vt:lpstr>Sales_Display</vt:lpstr>
      <vt:lpstr>Display_database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wisdom</cp:lastModifiedBy>
  <cp:lastPrinted>2022-01-10T16:19:53Z</cp:lastPrinted>
  <dcterms:created xsi:type="dcterms:W3CDTF">2021-02-06T06:38:53Z</dcterms:created>
  <dcterms:modified xsi:type="dcterms:W3CDTF">2023-04-18T18:09:03Z</dcterms:modified>
</cp:coreProperties>
</file>